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13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  <sheet name="t_Setting" sheetId="488" r:id="rId13"/>
    <sheet name="t_AdminUser" sheetId="489" r:id="rId14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4" i="489" l="1"/>
  <c r="B43" i="489"/>
  <c r="B42" i="489"/>
  <c r="B41" i="489"/>
  <c r="B40" i="489"/>
  <c r="B39" i="489"/>
  <c r="B38" i="489"/>
  <c r="B37" i="489"/>
  <c r="B36" i="489"/>
  <c r="B35" i="489"/>
  <c r="B34" i="489"/>
  <c r="B33" i="489"/>
  <c r="B32" i="489"/>
  <c r="B31" i="489"/>
  <c r="B30" i="489"/>
  <c r="B29" i="489"/>
  <c r="B28" i="489"/>
  <c r="B27" i="489"/>
  <c r="B26" i="489"/>
  <c r="B25" i="489"/>
  <c r="B24" i="489"/>
  <c r="B23" i="489"/>
  <c r="B22" i="489"/>
  <c r="B21" i="489"/>
  <c r="B20" i="489"/>
  <c r="B19" i="489"/>
  <c r="B18" i="489"/>
  <c r="B17" i="489"/>
  <c r="B16" i="489"/>
  <c r="B15" i="489"/>
  <c r="B14" i="489"/>
  <c r="B13" i="489"/>
  <c r="B12" i="489"/>
  <c r="B11" i="489"/>
  <c r="B10" i="489"/>
  <c r="B9" i="489"/>
  <c r="B8" i="489"/>
  <c r="B7" i="489"/>
  <c r="B6" i="489"/>
  <c r="B5" i="489"/>
  <c r="E13" i="4"/>
  <c r="B6" i="482" l="1"/>
  <c r="B7" i="482"/>
  <c r="B8" i="482"/>
  <c r="B9" i="482"/>
  <c r="B10" i="482"/>
  <c r="B11" i="482"/>
  <c r="B12" i="482"/>
  <c r="B13" i="482"/>
  <c r="B14" i="482"/>
  <c r="B44" i="488" l="1"/>
  <c r="B43" i="488"/>
  <c r="B42" i="488"/>
  <c r="B41" i="488"/>
  <c r="B40" i="488"/>
  <c r="B39" i="488"/>
  <c r="B38" i="488"/>
  <c r="B37" i="488"/>
  <c r="B36" i="488"/>
  <c r="B35" i="488"/>
  <c r="B34" i="488"/>
  <c r="B33" i="488"/>
  <c r="B32" i="488"/>
  <c r="B31" i="488"/>
  <c r="B30" i="488"/>
  <c r="B29" i="488"/>
  <c r="B28" i="488"/>
  <c r="B27" i="488"/>
  <c r="B26" i="488"/>
  <c r="B25" i="488"/>
  <c r="B24" i="488"/>
  <c r="B23" i="488"/>
  <c r="B22" i="488"/>
  <c r="B21" i="488"/>
  <c r="B20" i="488"/>
  <c r="B19" i="488"/>
  <c r="B18" i="488"/>
  <c r="B17" i="488"/>
  <c r="B16" i="488"/>
  <c r="B15" i="488"/>
  <c r="B14" i="488"/>
  <c r="B13" i="488"/>
  <c r="B12" i="488"/>
  <c r="B11" i="488"/>
  <c r="B10" i="488"/>
  <c r="B9" i="488"/>
  <c r="B8" i="488"/>
  <c r="B7" i="488"/>
  <c r="B6" i="488"/>
  <c r="B5" i="488"/>
  <c r="E12" i="4"/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<sst xmlns="http://schemas.openxmlformats.org/spreadsheetml/2006/main" count="528" uniqueCount="211">
  <si>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</si>
  <si>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</si>
  <si>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</si>
  <si>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</si>
  <si>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</si>
  <si>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</si>
  <si>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</si>
  <si>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</si>
  <si>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</si>
  <si>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</si>
  <si>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</si>
  <si>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</si>
  <si>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</si>
  <si>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</si>
  <si>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</si>
  <si>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</si>
  <si>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</si>
  <si>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</si>
  <si>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</si>
  <si>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</si>
  <si>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</si>
  <si>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</si>
  <si>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</si>
  <si>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</si>
  <si>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</si>
  <si>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</si>
  <si>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</si>
  <si>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</si>
  <si>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</si>
  <si>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</si>
  <si>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</si>
  <si>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</si>
  <si>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</si>
  <si>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</si>
  <si>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</si>
  <si>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</si>
  <si>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</si>
  <si>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</si>
  <si>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</si>
  <si>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</si>
  <si>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</si>
  <si>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</si>
  <si>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</si>
  <si>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</si>
  <si>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</si>
  <si>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</si>
  <si>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</si>
  <si>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</si>
  <si>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</si>
  <si>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</si>
  <si>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</si>
  <si>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</si>
  <si>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</si>
  <si>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</si>
  <si>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</si>
  <si>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</si>
  <si>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</si>
  <si>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</si>
  <si>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</si>
  <si>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</si>
  <si>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</si>
  <si>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</si>
  <si>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</si>
  <si>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</si>
  <si>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</si>
  <si>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</si>
  <si>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</si>
  <si>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</si>
  <si>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</si>
  <si>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</si>
  <si>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</si>
  <si>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</si>
  <si>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</si>
  <si>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</si>
  <si>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</si>
  <si>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</si>
  <si>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</si>
  <si>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</si>
  <si>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</si>
  <si>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</si>
  <si>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</si>
  <si>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</si>
  <si>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</si>
  <si>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</si>
  <si>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</si>
  <si>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</si>
  <si>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</si>
  <si>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</si>
  <si>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</si>
  <si>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</si>
  <si>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</si>
  <si>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</si>
  <si>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</si>
  <si>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</si>
  <si>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</si>
  <si>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</si>
  <si>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</si>
  <si>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</si>
  <si>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</si>
  <si>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</si>
  <si>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</si>
  <si>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</si>
  <si>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</si>
  <si>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</si>
  <si>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</si>
  <si>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</si>
  <si>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</si>
  <si>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</si>
  <si>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</si>
  <si>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</si>
  <si>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</si>
  <si>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</si>
  <si>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</si>
  <si>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</si>
  <si>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</si>
  <si>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</si>
  <si>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</si>
  <si>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</si>
  <si>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</si>
  <si>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</si>
  <si>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</si>
  <si>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</si>
  <si>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</si>
  <si>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</si>
  <si>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</si>
  <si>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</si>
  <si>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</si>
  <si>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</si>
  <si>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</si>
  <si>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</si>
  <si>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</si>
  <si>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</si>
  <si>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</si>
  <si>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</si>
  <si>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</si>
  <si>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</si>
  <si>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</si>
  <si>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</si>
  <si>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</si>
  <si>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</si>
  <si>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</si>
  <si>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</si>
  <si>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</si>
  <si>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</si>
  <si>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</si>
  <si>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</si>
  <si>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</si>
  <si>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</si>
  <si>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</si>
  <si>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</si>
  <si>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</si>
  <si>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</si>
  <si>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</si>
  <si>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</si>
  <si>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</si>
  <si>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</si>
  <si>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</si>
  <si>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</si>
  <si>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</si>
  <si>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</si>
  <si>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</si>
  <si>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</si>
  <si>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</si>
  <si>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</si>
  <si>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</si>
  <si>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</si>
  <si>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</si>
  <si>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</si>
  <si>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</si>
  <si>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</si>
  <si>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</si>
  <si>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</si>
  <si>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</si>
  <si>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</si>
  <si>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</si>
  <si>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</si>
  <si>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</si>
  <si>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</si>
  <si>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</si>
  <si>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</si>
  <si>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</si>
  <si>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</si>
  <si>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</si>
  <si>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</si>
  <si>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</si>
  <si>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</si>
  <si>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</si>
  <si>
    <t>t_Setting</t>
    <phoneticPr fontId="1" type="noConversion"/>
  </si>
  <si>
    <t>系统设置表</t>
  </si>
  <si>
    <t>系统设置表</t>
    <phoneticPr fontId="1" type="noConversion"/>
  </si>
  <si>
    <t>活动规则</t>
    <phoneticPr fontId="1" type="noConversion"/>
  </si>
  <si>
    <t>VARCHAR(2000)</t>
    <phoneticPr fontId="1" type="noConversion"/>
  </si>
  <si>
    <t>t_Setting</t>
    <phoneticPr fontId="1" type="noConversion"/>
  </si>
  <si>
    <t>ActivityRule</t>
    <phoneticPr fontId="1" type="noConversion"/>
  </si>
  <si>
    <t xml:space="preserve">IsUse </t>
  </si>
  <si>
    <t>是否启用</t>
    <phoneticPr fontId="1" type="noConversion"/>
  </si>
  <si>
    <t>bit</t>
    <phoneticPr fontId="1" type="noConversion"/>
  </si>
  <si>
    <t xml:space="preserve">StateID </t>
  </si>
  <si>
    <t>状态ID</t>
    <phoneticPr fontId="1" type="noConversion"/>
  </si>
  <si>
    <t>int</t>
    <phoneticPr fontId="1" type="noConversion"/>
  </si>
  <si>
    <t xml:space="preserve">ApproveTime </t>
  </si>
  <si>
    <t>审核时间</t>
    <phoneticPr fontId="1" type="noConversion"/>
  </si>
  <si>
    <t xml:space="preserve">PayDate </t>
  </si>
  <si>
    <t>付款时间</t>
    <phoneticPr fontId="1" type="noConversion"/>
  </si>
  <si>
    <t>t_AdminUser</t>
    <phoneticPr fontId="1" type="noConversion"/>
  </si>
  <si>
    <t>后台管理员表</t>
  </si>
  <si>
    <t>后台管理员表</t>
    <phoneticPr fontId="1" type="noConversion"/>
  </si>
  <si>
    <t>PassWord</t>
    <phoneticPr fontId="1" type="noConversion"/>
  </si>
  <si>
    <t>密码</t>
    <phoneticPr fontId="1" type="noConversion"/>
  </si>
  <si>
    <t>VARCHAR(64)</t>
    <phoneticPr fontId="1" type="noConversion"/>
  </si>
  <si>
    <t>t_AdminUser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</si>
</sst>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E13" sqref="E13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 t="shared" ref="E4:E13" si="0"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 t="shared" si="0"/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 t="shared" si="0"/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 t="shared" si="0"/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 t="shared" si="0"/>
        <v>链接</v>
      </c>
      <c r="F8" s="4" t="s">
        <v>131</v>
      </c>
      <c r="G8" s="4"/>
    </row>
    <row r="9" spans="1:7">
      <c r="A9" s="15" t="s">
        <v>19</v>
      </c>
      <c r="B9" s="21">
        <v>6</v>
      </c>
      <c r="C9" s="21"/>
      <c r="D9" s="4" t="s">
        <v>152</v>
      </c>
      <c r="E9" s="46" t="str">
        <f t="shared" si="0"/>
        <v>链接</v>
      </c>
      <c r="F9" s="4" t="s">
        <v>154</v>
      </c>
      <c r="G9" s="38"/>
    </row>
    <row r="10" spans="1:7">
      <c r="A10" s="15" t="s">
        <v>19</v>
      </c>
      <c r="B10" s="21">
        <v>7</v>
      </c>
      <c r="C10" s="21"/>
      <c r="D10" s="4" t="s">
        <v>155</v>
      </c>
      <c r="E10" s="46" t="str">
        <f t="shared" si="0"/>
        <v>链接</v>
      </c>
      <c r="F10" s="4" t="s">
        <v>154</v>
      </c>
      <c r="G10" s="38"/>
    </row>
    <row r="11" spans="1:7">
      <c r="A11" s="15" t="s">
        <v>19</v>
      </c>
      <c r="B11" s="21">
        <v>8</v>
      </c>
      <c r="C11" s="21"/>
      <c r="D11" s="4" t="s">
        <v>179</v>
      </c>
      <c r="E11" s="46" t="str">
        <f t="shared" si="0"/>
        <v>链接</v>
      </c>
      <c r="F11" s="4" t="s">
        <v>178</v>
      </c>
      <c r="G11" s="38"/>
    </row>
    <row r="12" spans="1:7">
      <c r="A12" s="15" t="s">
        <v>19</v>
      </c>
      <c r="B12" s="21">
        <v>9</v>
      </c>
      <c r="C12" s="21"/>
      <c r="D12" s="4" t="s">
        <v>187</v>
      </c>
      <c r="E12" s="46" t="str">
        <f t="shared" si="0"/>
        <v>链接</v>
      </c>
      <c r="F12" s="4" t="s">
        <v>189</v>
      </c>
      <c r="G12" s="38"/>
    </row>
    <row r="13" spans="1:7">
      <c r="A13" s="15" t="s">
        <v>19</v>
      </c>
      <c r="B13" s="21">
        <v>10</v>
      </c>
      <c r="C13" s="21"/>
      <c r="D13" s="4" t="s">
        <v>204</v>
      </c>
      <c r="E13" s="46" t="str">
        <f t="shared" si="0"/>
        <v>链接</v>
      </c>
      <c r="F13" s="4" t="s">
        <v>206</v>
      </c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7" r:id="rId4" name="btnType">
          <controlPr defaultSize="0" autoLine="0" r:id="rId5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4" name="btnType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1" r:id="rId8" name="Label1">
          <controlPr autoLine="0" r:id="rId9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C13" sqref="C13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E20" sqref="E20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145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>
        <f t="shared" si="1"/>
        <v>16</v>
      </c>
      <c r="C20" s="4" t="s">
        <v>194</v>
      </c>
      <c r="D20" s="4" t="s">
        <v>195</v>
      </c>
      <c r="E20" s="14" t="s">
        <v>196</v>
      </c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C21" sqref="C21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>
        <f t="shared" ref="B6:B14" si="0">IF(COUNTA(C6)&gt;0,ROW(C6)-4,"")</f>
        <v>2</v>
      </c>
      <c r="C6" s="25" t="s">
        <v>121</v>
      </c>
      <c r="D6" s="25" t="s">
        <v>117</v>
      </c>
      <c r="E6" s="12" t="s">
        <v>43</v>
      </c>
      <c r="F6" s="13"/>
    </row>
    <row r="7" spans="1:6">
      <c r="B7" s="34">
        <f t="shared" si="0"/>
        <v>3</v>
      </c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si="0"/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>
        <f t="shared" si="0"/>
        <v>5</v>
      </c>
      <c r="C9" s="25" t="s">
        <v>124</v>
      </c>
      <c r="D9" s="25" t="s">
        <v>113</v>
      </c>
      <c r="E9" s="12" t="s">
        <v>90</v>
      </c>
      <c r="F9" s="13"/>
    </row>
    <row r="10" spans="1:6">
      <c r="B10" s="34">
        <f t="shared" si="0"/>
        <v>6</v>
      </c>
      <c r="C10" s="25" t="s">
        <v>125</v>
      </c>
      <c r="D10" s="25" t="s">
        <v>111</v>
      </c>
      <c r="E10" s="12" t="s">
        <v>92</v>
      </c>
      <c r="F10" s="13"/>
    </row>
    <row r="11" spans="1:6">
      <c r="B11" s="34">
        <f t="shared" si="0"/>
        <v>7</v>
      </c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>
        <f t="shared" si="0"/>
        <v>10</v>
      </c>
      <c r="C14" s="25" t="s">
        <v>197</v>
      </c>
      <c r="D14" s="25" t="s">
        <v>198</v>
      </c>
      <c r="E14" s="12" t="s">
        <v>199</v>
      </c>
      <c r="F14" s="13"/>
    </row>
    <row r="15" spans="1:6">
      <c r="B15" s="34" t="str">
        <f t="shared" ref="B15:B49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25"/>
      <c r="D20" s="25"/>
      <c r="E20" s="12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4"/>
      <c r="D24" s="4"/>
      <c r="E24" s="14"/>
      <c r="F24" s="13"/>
    </row>
    <row r="25" spans="2:6">
      <c r="B25" s="34" t="str">
        <f t="shared" si="1"/>
        <v/>
      </c>
      <c r="C25" s="25"/>
      <c r="D25" s="25"/>
      <c r="E25" s="12"/>
      <c r="F25" s="13"/>
    </row>
    <row r="26" spans="2:6">
      <c r="B26" s="34" t="str">
        <f t="shared" si="1"/>
        <v/>
      </c>
      <c r="C26" s="25"/>
      <c r="D26" s="25"/>
      <c r="E26" s="12"/>
      <c r="F26" s="13"/>
    </row>
    <row r="27" spans="2:6">
      <c r="B27" s="34" t="str">
        <f t="shared" si="1"/>
        <v/>
      </c>
      <c r="C27" s="25"/>
      <c r="D27" s="25"/>
      <c r="E27" s="12"/>
      <c r="F27" s="13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25"/>
    </row>
    <row r="41" spans="2:6">
      <c r="B41" s="34" t="str">
        <f t="shared" si="1"/>
        <v/>
      </c>
      <c r="C41" s="25"/>
      <c r="D41" s="25"/>
      <c r="E41" s="25"/>
      <c r="F41" s="25"/>
    </row>
    <row r="42" spans="2:6">
      <c r="B42" s="34" t="str">
        <f t="shared" si="1"/>
        <v/>
      </c>
      <c r="C42" s="25"/>
      <c r="D42" s="25"/>
      <c r="E42" s="25"/>
      <c r="F42" s="25"/>
    </row>
    <row r="43" spans="2:6">
      <c r="B43" s="34" t="str">
        <f t="shared" si="1"/>
        <v/>
      </c>
      <c r="C43" s="25"/>
      <c r="D43" s="25"/>
      <c r="E43" s="25"/>
      <c r="F43" s="25"/>
    </row>
    <row r="44" spans="2:6">
      <c r="B44" s="34" t="str">
        <f t="shared" si="1"/>
        <v/>
      </c>
      <c r="C44" s="25"/>
      <c r="D44" s="25"/>
      <c r="E44" s="25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 t="str">
        <f t="shared" si="1"/>
        <v/>
      </c>
      <c r="C46" s="4"/>
      <c r="D46" s="4"/>
      <c r="E46" s="12"/>
      <c r="F46" s="13"/>
    </row>
    <row r="47" spans="2:6">
      <c r="B47" s="34" t="str">
        <f t="shared" si="1"/>
        <v/>
      </c>
      <c r="C47" s="4"/>
      <c r="D47" s="4"/>
      <c r="E47" s="4"/>
      <c r="F47" s="13"/>
    </row>
    <row r="48" spans="2:6">
      <c r="B48" s="34" t="str">
        <f t="shared" si="1"/>
        <v/>
      </c>
      <c r="C48" s="4"/>
      <c r="D48" s="4"/>
      <c r="E48" s="4"/>
      <c r="F48" s="13"/>
    </row>
    <row r="49" spans="2:6">
      <c r="B49" s="34" t="str">
        <f t="shared" si="1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topLeftCell="A4" workbookViewId="0">
      <selection activeCell="E18" sqref="E18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 t="s">
        <v>149</v>
      </c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 t="s">
        <v>150</v>
      </c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 t="s">
        <v>151</v>
      </c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 t="s">
        <v>29</v>
      </c>
      <c r="F9" s="13"/>
    </row>
    <row r="10" spans="1:6">
      <c r="B10" s="34">
        <f t="shared" si="0"/>
        <v>6</v>
      </c>
      <c r="C10" s="25" t="s">
        <v>144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146</v>
      </c>
      <c r="D11" s="25" t="s">
        <v>136</v>
      </c>
      <c r="E11" s="12" t="s">
        <v>45</v>
      </c>
      <c r="F11" s="13"/>
    </row>
    <row r="12" spans="1:6">
      <c r="B12" s="34">
        <f t="shared" si="0"/>
        <v>8</v>
      </c>
      <c r="C12" s="25" t="s">
        <v>41</v>
      </c>
      <c r="D12" s="25" t="s">
        <v>139</v>
      </c>
      <c r="E12" s="12" t="s">
        <v>46</v>
      </c>
      <c r="F12" s="13"/>
    </row>
    <row r="13" spans="1:6">
      <c r="B13" s="34">
        <f t="shared" si="0"/>
        <v>9</v>
      </c>
      <c r="C13" s="25" t="s">
        <v>147</v>
      </c>
      <c r="D13" s="25" t="s">
        <v>137</v>
      </c>
      <c r="E13" s="12" t="s">
        <v>29</v>
      </c>
      <c r="F13" s="13"/>
    </row>
    <row r="14" spans="1:6">
      <c r="B14" s="34">
        <f t="shared" si="0"/>
        <v>10</v>
      </c>
      <c r="C14" s="25" t="s">
        <v>148</v>
      </c>
      <c r="D14" s="25" t="s">
        <v>138</v>
      </c>
      <c r="E14" s="12" t="s">
        <v>45</v>
      </c>
      <c r="F14" s="13"/>
    </row>
    <row r="15" spans="1:6">
      <c r="B15" s="34">
        <f t="shared" si="0"/>
        <v>11</v>
      </c>
      <c r="C15" s="25" t="s">
        <v>200</v>
      </c>
      <c r="D15" s="25" t="s">
        <v>201</v>
      </c>
      <c r="E15" s="12" t="s">
        <v>46</v>
      </c>
      <c r="F15" s="13"/>
    </row>
    <row r="16" spans="1:6">
      <c r="B16" s="34">
        <f t="shared" si="0"/>
        <v>12</v>
      </c>
      <c r="C16" s="25" t="s">
        <v>202</v>
      </c>
      <c r="D16" s="25" t="s">
        <v>203</v>
      </c>
      <c r="E16" s="12" t="s">
        <v>46</v>
      </c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175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45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>IF(COUNTA(C8)&gt;0,ROW(C8)-4,"")</f>
        <v>4</v>
      </c>
      <c r="C8" s="25" t="s">
        <v>166</v>
      </c>
      <c r="D8" s="25" t="s">
        <v>171</v>
      </c>
      <c r="E8" s="12" t="s">
        <v>172</v>
      </c>
      <c r="F8" s="13"/>
    </row>
    <row r="9" spans="1:6">
      <c r="B9" s="34">
        <f t="shared" si="0"/>
        <v>5</v>
      </c>
      <c r="C9" s="25" t="s">
        <v>162</v>
      </c>
      <c r="D9" s="25" t="s">
        <v>135</v>
      </c>
      <c r="E9" s="12" t="s">
        <v>29</v>
      </c>
      <c r="F9" s="13"/>
    </row>
    <row r="10" spans="1:6">
      <c r="B10" s="34">
        <f t="shared" si="0"/>
        <v>6</v>
      </c>
      <c r="C10" s="25" t="s">
        <v>163</v>
      </c>
      <c r="D10" s="25" t="s">
        <v>63</v>
      </c>
      <c r="E10" s="12" t="s">
        <v>45</v>
      </c>
      <c r="F10" s="13"/>
    </row>
    <row r="11" spans="1:6">
      <c r="B11" s="34">
        <f t="shared" si="0"/>
        <v>7</v>
      </c>
      <c r="C11" s="25" t="s">
        <v>167</v>
      </c>
      <c r="D11" s="25" t="s">
        <v>168</v>
      </c>
      <c r="E11" s="12" t="s">
        <v>46</v>
      </c>
      <c r="F11" s="13"/>
    </row>
    <row r="12" spans="1:6">
      <c r="B12" s="34">
        <f t="shared" si="0"/>
        <v>8</v>
      </c>
      <c r="C12" s="25" t="s">
        <v>164</v>
      </c>
      <c r="D12" s="25" t="s">
        <v>169</v>
      </c>
      <c r="E12" s="12" t="s">
        <v>46</v>
      </c>
      <c r="F12" s="13"/>
    </row>
    <row r="13" spans="1:6">
      <c r="B13" s="34">
        <f t="shared" si="0"/>
        <v>9</v>
      </c>
      <c r="C13" s="25" t="s">
        <v>165</v>
      </c>
      <c r="D13" s="25" t="s">
        <v>170</v>
      </c>
      <c r="E13" s="12" t="s">
        <v>45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176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14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 t="shared" si="0"/>
        <v>4</v>
      </c>
      <c r="C8" s="25" t="s">
        <v>173</v>
      </c>
      <c r="D8" s="25" t="s">
        <v>174</v>
      </c>
      <c r="E8" s="12" t="s">
        <v>156</v>
      </c>
      <c r="F8" s="13"/>
    </row>
    <row r="9" spans="1:6">
      <c r="B9" s="34">
        <f>IF(COUNTA(C9)&gt;0,ROW(C9)-4,"")</f>
        <v>5</v>
      </c>
      <c r="C9" s="25" t="s">
        <v>166</v>
      </c>
      <c r="D9" s="25" t="s">
        <v>171</v>
      </c>
      <c r="E9" s="12" t="s">
        <v>172</v>
      </c>
      <c r="F9" s="13"/>
    </row>
    <row r="10" spans="1:6">
      <c r="B10" s="34">
        <f t="shared" si="0"/>
        <v>6</v>
      </c>
      <c r="C10" s="25" t="s">
        <v>162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163</v>
      </c>
      <c r="D11" s="25" t="s">
        <v>63</v>
      </c>
      <c r="E11" s="12" t="s">
        <v>45</v>
      </c>
      <c r="F11" s="13"/>
    </row>
    <row r="12" spans="1:6">
      <c r="B12" s="34">
        <f t="shared" si="0"/>
        <v>8</v>
      </c>
      <c r="C12" s="25" t="s">
        <v>167</v>
      </c>
      <c r="D12" s="25" t="s">
        <v>168</v>
      </c>
      <c r="E12" s="12" t="s">
        <v>46</v>
      </c>
      <c r="F12" s="13"/>
    </row>
    <row r="13" spans="1:6">
      <c r="B13" s="34">
        <f t="shared" si="0"/>
        <v>9</v>
      </c>
      <c r="C13" s="25" t="s">
        <v>164</v>
      </c>
      <c r="D13" s="25" t="s">
        <v>169</v>
      </c>
      <c r="E13" s="12" t="s">
        <v>46</v>
      </c>
      <c r="F13" s="13"/>
    </row>
    <row r="14" spans="1:6">
      <c r="B14" s="34">
        <f t="shared" si="0"/>
        <v>10</v>
      </c>
      <c r="C14" s="25" t="s">
        <v>165</v>
      </c>
      <c r="D14" s="25" t="s">
        <v>170</v>
      </c>
      <c r="E14" s="12" t="s">
        <v>45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E12" sqref="C8: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186</v>
      </c>
      <c r="D3" s="9" t="s">
        <v>4</v>
      </c>
      <c r="E3" s="8" t="s">
        <v>177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180</v>
      </c>
      <c r="D6" s="25" t="s">
        <v>181</v>
      </c>
      <c r="E6" s="12" t="s">
        <v>184</v>
      </c>
      <c r="F6" s="13"/>
    </row>
    <row r="7" spans="1:6">
      <c r="B7" s="34">
        <f t="shared" si="0"/>
        <v>3</v>
      </c>
      <c r="C7" s="25" t="s">
        <v>182</v>
      </c>
      <c r="D7" s="25" t="s">
        <v>183</v>
      </c>
      <c r="E7" s="12" t="s">
        <v>185</v>
      </c>
      <c r="F7" s="13"/>
    </row>
    <row r="8" spans="1:6">
      <c r="B8" s="34">
        <f t="shared" si="0"/>
        <v>4</v>
      </c>
      <c r="C8" s="25" t="s">
        <v>162</v>
      </c>
      <c r="D8" s="25" t="s">
        <v>135</v>
      </c>
      <c r="E8" s="12" t="s">
        <v>29</v>
      </c>
      <c r="F8" s="13"/>
    </row>
    <row r="9" spans="1:6">
      <c r="B9" s="34">
        <f t="shared" si="0"/>
        <v>5</v>
      </c>
      <c r="C9" s="25" t="s">
        <v>72</v>
      </c>
      <c r="D9" s="25" t="s">
        <v>63</v>
      </c>
      <c r="E9" s="12" t="s">
        <v>45</v>
      </c>
      <c r="F9" s="13"/>
    </row>
    <row r="10" spans="1:6">
      <c r="B10" s="34">
        <f t="shared" si="0"/>
        <v>6</v>
      </c>
      <c r="C10" s="25" t="s">
        <v>41</v>
      </c>
      <c r="D10" s="25" t="s">
        <v>54</v>
      </c>
      <c r="E10" s="12" t="s">
        <v>46</v>
      </c>
      <c r="F10" s="13"/>
    </row>
    <row r="11" spans="1:6">
      <c r="B11" s="34">
        <f t="shared" si="0"/>
        <v>7</v>
      </c>
      <c r="C11" s="25" t="s">
        <v>66</v>
      </c>
      <c r="D11" s="25" t="s">
        <v>65</v>
      </c>
      <c r="E11" s="12" t="s">
        <v>46</v>
      </c>
      <c r="F11" s="13"/>
    </row>
    <row r="12" spans="1:6">
      <c r="B12" s="34">
        <f t="shared" si="0"/>
        <v>8</v>
      </c>
      <c r="C12" s="25" t="s">
        <v>87</v>
      </c>
      <c r="D12" s="25" t="s">
        <v>88</v>
      </c>
      <c r="E12" s="12" t="s">
        <v>45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4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192</v>
      </c>
      <c r="D3" s="9" t="s">
        <v>4</v>
      </c>
      <c r="E3" s="8" t="s">
        <v>188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193</v>
      </c>
      <c r="D6" s="25" t="s">
        <v>190</v>
      </c>
      <c r="E6" s="12" t="s">
        <v>191</v>
      </c>
      <c r="F6" s="13"/>
    </row>
    <row r="7" spans="1:6">
      <c r="B7" s="34">
        <f t="shared" si="0"/>
        <v>3</v>
      </c>
      <c r="C7" s="25" t="s">
        <v>162</v>
      </c>
      <c r="D7" s="25" t="s">
        <v>135</v>
      </c>
      <c r="E7" s="12" t="s">
        <v>29</v>
      </c>
      <c r="F7" s="13"/>
    </row>
    <row r="8" spans="1:6">
      <c r="B8" s="34">
        <f t="shared" si="0"/>
        <v>4</v>
      </c>
      <c r="C8" s="25" t="s">
        <v>72</v>
      </c>
      <c r="D8" s="25" t="s">
        <v>63</v>
      </c>
      <c r="E8" s="12" t="s">
        <v>45</v>
      </c>
      <c r="F8" s="13"/>
    </row>
    <row r="9" spans="1:6">
      <c r="B9" s="34">
        <f t="shared" si="0"/>
        <v>5</v>
      </c>
      <c r="C9" s="25" t="s">
        <v>41</v>
      </c>
      <c r="D9" s="25" t="s">
        <v>54</v>
      </c>
      <c r="E9" s="12" t="s">
        <v>46</v>
      </c>
      <c r="F9" s="13"/>
    </row>
    <row r="10" spans="1:6">
      <c r="B10" s="34">
        <f t="shared" si="0"/>
        <v>6</v>
      </c>
      <c r="C10" s="25" t="s">
        <v>66</v>
      </c>
      <c r="D10" s="25" t="s">
        <v>65</v>
      </c>
      <c r="E10" s="12" t="s">
        <v>46</v>
      </c>
      <c r="F10" s="13"/>
    </row>
    <row r="11" spans="1:6">
      <c r="B11" s="34">
        <f t="shared" si="0"/>
        <v>7</v>
      </c>
      <c r="C11" s="25" t="s">
        <v>87</v>
      </c>
      <c r="D11" s="25" t="s">
        <v>88</v>
      </c>
      <c r="E11" s="12" t="s">
        <v>45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4"/>
  <sheetViews>
    <sheetView tabSelected="1"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210</v>
      </c>
      <c r="D3" s="9" t="s">
        <v>4</v>
      </c>
      <c r="E3" s="8" t="s">
        <v>205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>
        <f t="shared" si="0"/>
        <v>3</v>
      </c>
      <c r="C7" s="25" t="s">
        <v>207</v>
      </c>
      <c r="D7" s="25" t="s">
        <v>208</v>
      </c>
      <c r="E7" s="12" t="s">
        <v>209</v>
      </c>
      <c r="F7" s="13"/>
    </row>
    <row r="8" spans="1:6">
      <c r="B8" s="34">
        <f t="shared" si="0"/>
        <v>4</v>
      </c>
      <c r="C8" s="25" t="s">
        <v>42</v>
      </c>
      <c r="D8" s="25" t="s">
        <v>55</v>
      </c>
      <c r="E8" s="12" t="s">
        <v>46</v>
      </c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  <vt:lpstr>t_Setting</vt:lpstr>
      <vt:lpstr>t_AdminUser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2019-04-08T10:46:55Z</dcterms:modified>
</cp:coreProperties>
</file>