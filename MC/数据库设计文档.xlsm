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390" yWindow="0" windowWidth="17805" windowHeight="9840" tabRatio="830" firstSheet="1" activeTab="9"/>
  </bookViews>
  <sheets>
    <sheet name="封面" sheetId="5" r:id="rId1"/>
    <sheet name="备忘录" sheetId="100" r:id="rId2"/>
    <sheet name="数据表索引" sheetId="4" r:id="rId3"/>
    <sheet name="t_Demo" sheetId="477" r:id="rId4"/>
    <sheet name="t_User" sheetId="479" r:id="rId5"/>
    <sheet name="t_Customer" sheetId="480" r:id="rId6"/>
    <sheet name="t_Project" sheetId="481" r:id="rId7"/>
    <sheet name="t_Order" sheetId="482" r:id="rId8"/>
    <sheet name="t_Fee" sheetId="483" r:id="rId9"/>
    <sheet name="t_BasicInfoType" sheetId="484" r:id="rId10"/>
    <sheet name="t_BasicInfoContent" sheetId="485" r:id="rId11"/>
  </sheets>
  <definedNames>
    <definedName name="_xlnm._FilterDatabase" localSheetId="2" hidden="1">数据表索引!$A$3:$L$32</definedName>
  </definedNames>
  <calcPr calcId="145621"/>
</workbook>
</file>

<file path=xl/calcChain.xml><?xml version="1.0" encoding="utf-8"?>
<calcChain xmlns="http://schemas.openxmlformats.org/spreadsheetml/2006/main">
  <c r="B8" i="485" l="1"/>
  <c r="B14" i="485"/>
  <c r="B13" i="485"/>
  <c r="B12" i="485"/>
  <c r="B11" i="485"/>
  <c r="B10" i="485"/>
  <c r="B9" i="485"/>
  <c r="B7" i="485"/>
  <c r="B6" i="485"/>
  <c r="B5" i="485"/>
  <c r="B45" i="485"/>
  <c r="B44" i="485"/>
  <c r="B43" i="485"/>
  <c r="B42" i="485"/>
  <c r="B41" i="485"/>
  <c r="B40" i="485"/>
  <c r="B39" i="485"/>
  <c r="B38" i="485"/>
  <c r="B37" i="485"/>
  <c r="B36" i="485"/>
  <c r="B35" i="485"/>
  <c r="B34" i="485"/>
  <c r="B33" i="485"/>
  <c r="B32" i="485"/>
  <c r="B31" i="485"/>
  <c r="B30" i="485"/>
  <c r="B29" i="485"/>
  <c r="B28" i="485"/>
  <c r="B27" i="485"/>
  <c r="B26" i="485"/>
  <c r="B25" i="485"/>
  <c r="B24" i="485"/>
  <c r="B23" i="485"/>
  <c r="B22" i="485"/>
  <c r="B21" i="485"/>
  <c r="B20" i="485"/>
  <c r="B19" i="485"/>
  <c r="B18" i="485"/>
  <c r="B17" i="485"/>
  <c r="B16" i="485"/>
  <c r="B15" i="485"/>
  <c r="B11" i="484"/>
  <c r="B45" i="484"/>
  <c r="B44" i="484"/>
  <c r="B43" i="484"/>
  <c r="B42" i="484"/>
  <c r="B41" i="484"/>
  <c r="B40" i="484"/>
  <c r="B39" i="484"/>
  <c r="B38" i="484"/>
  <c r="B37" i="484"/>
  <c r="B36" i="484"/>
  <c r="B35" i="484"/>
  <c r="B34" i="484"/>
  <c r="B33" i="484"/>
  <c r="B32" i="484"/>
  <c r="B31" i="484"/>
  <c r="B30" i="484"/>
  <c r="B29" i="484"/>
  <c r="B28" i="484"/>
  <c r="B27" i="484"/>
  <c r="B26" i="484"/>
  <c r="B25" i="484"/>
  <c r="B24" i="484"/>
  <c r="B23" i="484"/>
  <c r="B22" i="484"/>
  <c r="B21" i="484"/>
  <c r="B20" i="484"/>
  <c r="B19" i="484"/>
  <c r="B18" i="484"/>
  <c r="B17" i="484"/>
  <c r="B16" i="484"/>
  <c r="B15" i="484"/>
  <c r="B14" i="484"/>
  <c r="B8" i="484"/>
  <c r="B13" i="484"/>
  <c r="B12" i="484"/>
  <c r="B10" i="484"/>
  <c r="B9" i="484"/>
  <c r="B7" i="484"/>
  <c r="B6" i="484"/>
  <c r="B5" i="484"/>
  <c r="E10" i="4"/>
  <c r="E9" i="4"/>
  <c r="B12" i="483"/>
  <c r="B13" i="483"/>
  <c r="B14" i="483"/>
  <c r="B45" i="483" l="1"/>
  <c r="B44" i="483"/>
  <c r="B43" i="483"/>
  <c r="B42" i="483"/>
  <c r="B41" i="483"/>
  <c r="B40" i="483"/>
  <c r="B39" i="483"/>
  <c r="B38" i="483"/>
  <c r="B37" i="483"/>
  <c r="B36" i="483"/>
  <c r="B35" i="483"/>
  <c r="B34" i="483"/>
  <c r="B33" i="483"/>
  <c r="B32" i="483"/>
  <c r="B31" i="483"/>
  <c r="B30" i="483"/>
  <c r="B29" i="483"/>
  <c r="B28" i="483"/>
  <c r="B27" i="483"/>
  <c r="B26" i="483"/>
  <c r="B25" i="483"/>
  <c r="B24" i="483"/>
  <c r="B23" i="483"/>
  <c r="B22" i="483"/>
  <c r="B21" i="483"/>
  <c r="B20" i="483"/>
  <c r="B19" i="483"/>
  <c r="B18" i="483"/>
  <c r="B17" i="483"/>
  <c r="B16" i="483"/>
  <c r="B15" i="483"/>
  <c r="B11" i="483"/>
  <c r="B10" i="483"/>
  <c r="B9" i="483"/>
  <c r="B8" i="483"/>
  <c r="B7" i="483"/>
  <c r="B6" i="483"/>
  <c r="B5" i="483"/>
  <c r="E8" i="4"/>
  <c r="B49" i="482"/>
  <c r="B48" i="482"/>
  <c r="B47" i="482"/>
  <c r="B46" i="482"/>
  <c r="B45" i="482"/>
  <c r="B44" i="482"/>
  <c r="B43" i="482"/>
  <c r="B42" i="482"/>
  <c r="B41" i="482"/>
  <c r="B40" i="482"/>
  <c r="B39" i="482"/>
  <c r="B38" i="482"/>
  <c r="B37" i="482"/>
  <c r="B36" i="482"/>
  <c r="B35" i="482"/>
  <c r="B34" i="482"/>
  <c r="B33" i="482"/>
  <c r="B32" i="482"/>
  <c r="B31" i="482"/>
  <c r="B30" i="482"/>
  <c r="B29" i="482"/>
  <c r="B28" i="482"/>
  <c r="B27" i="482"/>
  <c r="B26" i="482"/>
  <c r="B25" i="482"/>
  <c r="B24" i="482"/>
  <c r="B23" i="482"/>
  <c r="B22" i="482"/>
  <c r="B21" i="482"/>
  <c r="B20" i="482"/>
  <c r="B19" i="482"/>
  <c r="B18" i="482"/>
  <c r="B17" i="482"/>
  <c r="B16" i="482"/>
  <c r="B15" i="482"/>
  <c r="B14" i="482"/>
  <c r="B13" i="482"/>
  <c r="B12" i="482"/>
  <c r="B8" i="482"/>
  <c r="B5" i="482"/>
  <c r="E7" i="4"/>
  <c r="B18" i="481"/>
  <c r="B6" i="481"/>
  <c r="B7" i="481"/>
  <c r="B8" i="481"/>
  <c r="B9" i="481"/>
  <c r="B10" i="481"/>
  <c r="B11" i="481"/>
  <c r="B45" i="481"/>
  <c r="B44" i="481"/>
  <c r="B43" i="481"/>
  <c r="B42" i="481"/>
  <c r="B41" i="481"/>
  <c r="B40" i="481"/>
  <c r="B39" i="481"/>
  <c r="B38" i="481"/>
  <c r="B37" i="481"/>
  <c r="B36" i="481"/>
  <c r="B35" i="481"/>
  <c r="B34" i="481"/>
  <c r="B33" i="481"/>
  <c r="B32" i="481"/>
  <c r="B31" i="481"/>
  <c r="B30" i="481"/>
  <c r="B29" i="481"/>
  <c r="B28" i="481"/>
  <c r="B27" i="481"/>
  <c r="B26" i="481"/>
  <c r="B25" i="481"/>
  <c r="B24" i="481"/>
  <c r="B23" i="481"/>
  <c r="B22" i="481"/>
  <c r="B21" i="481"/>
  <c r="B20" i="481"/>
  <c r="B19" i="481"/>
  <c r="B17" i="481"/>
  <c r="B16" i="481"/>
  <c r="B15" i="481"/>
  <c r="B14" i="481"/>
  <c r="B13" i="481"/>
  <c r="B12" i="481"/>
  <c r="B5" i="481"/>
  <c r="E6" i="4"/>
  <c r="B11" i="480" l="1"/>
  <c r="B10" i="480"/>
  <c r="B45" i="480"/>
  <c r="B44" i="480"/>
  <c r="B43" i="480"/>
  <c r="B42" i="480"/>
  <c r="B41" i="480"/>
  <c r="B40" i="480"/>
  <c r="B39" i="480"/>
  <c r="B38" i="480"/>
  <c r="B37" i="480"/>
  <c r="B36" i="480"/>
  <c r="B35" i="480"/>
  <c r="B34" i="480"/>
  <c r="B33" i="480"/>
  <c r="B32" i="480"/>
  <c r="B31" i="480"/>
  <c r="B30" i="480"/>
  <c r="B29" i="480"/>
  <c r="B28" i="480"/>
  <c r="B27" i="480"/>
  <c r="B26" i="480"/>
  <c r="B25" i="480"/>
  <c r="B24" i="480"/>
  <c r="B23" i="480"/>
  <c r="B22" i="480"/>
  <c r="B21" i="480"/>
  <c r="B20" i="480"/>
  <c r="B19" i="480"/>
  <c r="B18" i="480"/>
  <c r="B17" i="480"/>
  <c r="B16" i="480"/>
  <c r="B15" i="480"/>
  <c r="B14" i="480"/>
  <c r="B13" i="480"/>
  <c r="B12" i="480"/>
  <c r="B9" i="480"/>
  <c r="B8" i="480"/>
  <c r="B7" i="480"/>
  <c r="B6" i="480"/>
  <c r="B5" i="480"/>
  <c r="E5" i="4"/>
  <c r="B45" i="479" l="1"/>
  <c r="B44" i="479"/>
  <c r="B43" i="479"/>
  <c r="B42" i="479"/>
  <c r="B41" i="479"/>
  <c r="B40" i="479"/>
  <c r="B39" i="479"/>
  <c r="B38" i="479"/>
  <c r="B37" i="479"/>
  <c r="B36" i="479"/>
  <c r="B35" i="479"/>
  <c r="B34" i="479"/>
  <c r="B33" i="479"/>
  <c r="B32" i="479"/>
  <c r="B31" i="479"/>
  <c r="B30" i="479"/>
  <c r="B29" i="479"/>
  <c r="B28" i="479"/>
  <c r="B27" i="479"/>
  <c r="B26" i="479"/>
  <c r="B25" i="479"/>
  <c r="B24" i="479"/>
  <c r="B23" i="479"/>
  <c r="B22" i="479"/>
  <c r="B21" i="479"/>
  <c r="B20" i="479"/>
  <c r="B19" i="479"/>
  <c r="B18" i="479"/>
  <c r="B17" i="479"/>
  <c r="B16" i="479"/>
  <c r="B15" i="479"/>
  <c r="B14" i="479"/>
  <c r="B13" i="479"/>
  <c r="B12" i="479"/>
  <c r="B11" i="479"/>
  <c r="B10" i="479"/>
  <c r="B9" i="479"/>
  <c r="B8" i="479"/>
  <c r="B6" i="479"/>
  <c r="B5" i="479"/>
  <c r="E4" i="4"/>
  <c r="B44" i="477" l="1"/>
  <c r="B43" i="477"/>
  <c r="B42" i="477"/>
  <c r="B41" i="477"/>
  <c r="B40" i="477"/>
  <c r="B39" i="477"/>
  <c r="B38" i="477"/>
  <c r="B37" i="477"/>
  <c r="B36" i="477"/>
  <c r="B35" i="477"/>
  <c r="B34" i="477"/>
  <c r="B33" i="477"/>
  <c r="B32" i="477"/>
  <c r="B31" i="477"/>
  <c r="B30" i="477"/>
  <c r="B29" i="477"/>
  <c r="B28" i="477"/>
  <c r="B27" i="477"/>
  <c r="B26" i="477"/>
  <c r="B25" i="477"/>
  <c r="B24" i="477"/>
  <c r="B23" i="477"/>
  <c r="B22" i="477"/>
  <c r="B21" i="477"/>
  <c r="B20" i="477"/>
  <c r="B19" i="477"/>
  <c r="B18" i="477"/>
  <c r="B17" i="477"/>
  <c r="B16" i="477"/>
  <c r="B15" i="477"/>
  <c r="B14" i="477"/>
  <c r="B13" i="477"/>
  <c r="B12" i="477"/>
  <c r="B11" i="477"/>
  <c r="B10" i="477"/>
  <c r="B9" i="477"/>
  <c r="B8" i="477"/>
  <c r="B7" i="477"/>
  <c r="B6" i="477"/>
  <c r="B5" i="477"/>
  <c r="B297" i="4" l="1"/>
  <c r="B298" i="4"/>
  <c r="B299" i="4"/>
</calcChain>
</file>

<file path=xl/sharedStrings.xml><?xml version="1.0" encoding="utf-8"?>
<sst xmlns="http://schemas.openxmlformats.org/spreadsheetml/2006/main" count="423" uniqueCount="177">
  <si>
    <t>数据表索引</t>
    <phoneticPr fontId="1" type="noConversion"/>
  </si>
  <si>
    <t>序号</t>
  </si>
  <si>
    <t>英文表名</t>
    <phoneticPr fontId="1" type="noConversion"/>
  </si>
  <si>
    <t>链接</t>
    <phoneticPr fontId="1" type="noConversion"/>
  </si>
  <si>
    <t>中文表名</t>
    <phoneticPr fontId="1" type="noConversion"/>
  </si>
  <si>
    <t>备注</t>
  </si>
  <si>
    <t>制作人：</t>
  </si>
  <si>
    <t>制作时间：</t>
  </si>
  <si>
    <t>变更记录</t>
  </si>
  <si>
    <t>人员</t>
  </si>
  <si>
    <t>时间</t>
  </si>
  <si>
    <t>创建</t>
  </si>
  <si>
    <t>V1.0</t>
  </si>
  <si>
    <t>列名</t>
  </si>
  <si>
    <t>中文名称</t>
  </si>
  <si>
    <t>类型</t>
  </si>
  <si>
    <t>select name from sysobjects where xtype='U'  ORDER BY name</t>
  </si>
  <si>
    <t>备忘录</t>
    <phoneticPr fontId="1" type="noConversion"/>
  </si>
  <si>
    <t>类型</t>
    <phoneticPr fontId="1" type="noConversion"/>
  </si>
  <si>
    <t xml:space="preserve"> </t>
    <phoneticPr fontId="1" type="noConversion"/>
  </si>
  <si>
    <t xml:space="preserve"> </t>
    <phoneticPr fontId="1" type="noConversion"/>
  </si>
  <si>
    <t>田予龙</t>
    <phoneticPr fontId="1" type="noConversion"/>
  </si>
  <si>
    <r>
      <t xml:space="preserve">盛鸿供应链管理系统 V3.0
数据库设计文档
</t>
    </r>
    <r>
      <rPr>
        <sz val="12"/>
        <color indexed="8"/>
        <rFont val="宋体"/>
        <family val="3"/>
        <charset val="134"/>
      </rPr>
      <t>盛鸿软件（大连）有限公司</t>
    </r>
    <phoneticPr fontId="9" type="noConversion"/>
  </si>
  <si>
    <t>返回</t>
    <phoneticPr fontId="1" type="noConversion"/>
  </si>
  <si>
    <t>英文表名</t>
    <phoneticPr fontId="1" type="noConversion"/>
  </si>
  <si>
    <t>中文表名</t>
    <phoneticPr fontId="1" type="noConversion"/>
  </si>
  <si>
    <t>备注</t>
    <phoneticPr fontId="1" type="noConversion"/>
  </si>
  <si>
    <t>ID</t>
    <phoneticPr fontId="1" type="noConversion"/>
  </si>
  <si>
    <t>主键ID</t>
    <phoneticPr fontId="1" type="noConversion"/>
  </si>
  <si>
    <t>uniqueidentifier</t>
    <phoneticPr fontId="1" type="noConversion"/>
  </si>
  <si>
    <t>用户表</t>
  </si>
  <si>
    <t>用户表</t>
    <phoneticPr fontId="1" type="noConversion"/>
  </si>
  <si>
    <t>t_User</t>
  </si>
  <si>
    <t>t_User</t>
    <phoneticPr fontId="1" type="noConversion"/>
  </si>
  <si>
    <t>UserID</t>
    <phoneticPr fontId="1" type="noConversion"/>
  </si>
  <si>
    <t>UserName</t>
    <phoneticPr fontId="1" type="noConversion"/>
  </si>
  <si>
    <t>OpenID</t>
    <phoneticPr fontId="1" type="noConversion"/>
  </si>
  <si>
    <t>Sex</t>
    <phoneticPr fontId="1" type="noConversion"/>
  </si>
  <si>
    <t>Phone</t>
    <phoneticPr fontId="1" type="noConversion"/>
  </si>
  <si>
    <t>TrueName</t>
    <phoneticPr fontId="1" type="noConversion"/>
  </si>
  <si>
    <t>Email</t>
    <phoneticPr fontId="1" type="noConversion"/>
  </si>
  <si>
    <t>CrTime</t>
    <phoneticPr fontId="1" type="noConversion"/>
  </si>
  <si>
    <t>LastOnLineTime</t>
    <phoneticPr fontId="1" type="noConversion"/>
  </si>
  <si>
    <t>VARCHAR(50)</t>
    <phoneticPr fontId="1" type="noConversion"/>
  </si>
  <si>
    <t>VARCHAR(2)</t>
    <phoneticPr fontId="1" type="noConversion"/>
  </si>
  <si>
    <t>VARCHAR(20)</t>
    <phoneticPr fontId="1" type="noConversion"/>
  </si>
  <si>
    <t>datetime</t>
    <phoneticPr fontId="1" type="noConversion"/>
  </si>
  <si>
    <t>用户ID</t>
    <phoneticPr fontId="1" type="noConversion"/>
  </si>
  <si>
    <t>用户名</t>
    <phoneticPr fontId="1" type="noConversion"/>
  </si>
  <si>
    <t>真实姓名</t>
    <phoneticPr fontId="1" type="noConversion"/>
  </si>
  <si>
    <t>微信openid</t>
    <phoneticPr fontId="1" type="noConversion"/>
  </si>
  <si>
    <t>性别</t>
    <phoneticPr fontId="1" type="noConversion"/>
  </si>
  <si>
    <t>手机号</t>
    <phoneticPr fontId="1" type="noConversion"/>
  </si>
  <si>
    <t>邮箱</t>
    <phoneticPr fontId="1" type="noConversion"/>
  </si>
  <si>
    <t>创建时间</t>
    <phoneticPr fontId="1" type="noConversion"/>
  </si>
  <si>
    <t>最后登录时间</t>
    <phoneticPr fontId="1" type="noConversion"/>
  </si>
  <si>
    <t>t_Customer</t>
    <phoneticPr fontId="1" type="noConversion"/>
  </si>
  <si>
    <t>推荐客户表</t>
  </si>
  <si>
    <t>推荐客户表</t>
    <phoneticPr fontId="1" type="noConversion"/>
  </si>
  <si>
    <t>客户名称</t>
    <phoneticPr fontId="1" type="noConversion"/>
  </si>
  <si>
    <t>客户电话</t>
    <phoneticPr fontId="1" type="noConversion"/>
  </si>
  <si>
    <t>性别</t>
    <phoneticPr fontId="1" type="noConversion"/>
  </si>
  <si>
    <t>描述</t>
    <phoneticPr fontId="1" type="noConversion"/>
  </si>
  <si>
    <t>创建人</t>
    <phoneticPr fontId="1" type="noConversion"/>
  </si>
  <si>
    <t>创建ID</t>
    <phoneticPr fontId="1" type="noConversion"/>
  </si>
  <si>
    <t>更新时间</t>
    <phoneticPr fontId="1" type="noConversion"/>
  </si>
  <si>
    <t>UpTime</t>
    <phoneticPr fontId="1" type="noConversion"/>
  </si>
  <si>
    <t>CusName</t>
    <phoneticPr fontId="1" type="noConversion"/>
  </si>
  <si>
    <t>CusPhone</t>
    <phoneticPr fontId="1" type="noConversion"/>
  </si>
  <si>
    <t>Sex</t>
    <phoneticPr fontId="1" type="noConversion"/>
  </si>
  <si>
    <t>Remark</t>
    <phoneticPr fontId="1" type="noConversion"/>
  </si>
  <si>
    <t>CrUserID</t>
    <phoneticPr fontId="1" type="noConversion"/>
  </si>
  <si>
    <t>CrUser</t>
    <phoneticPr fontId="1" type="noConversion"/>
  </si>
  <si>
    <t>VARCHAR(20)</t>
    <phoneticPr fontId="1" type="noConversion"/>
  </si>
  <si>
    <t>VARCHAR(500)</t>
    <phoneticPr fontId="1" type="noConversion"/>
  </si>
  <si>
    <t>t_Customer</t>
    <phoneticPr fontId="1" type="noConversion"/>
  </si>
  <si>
    <t>t_Project</t>
    <phoneticPr fontId="1" type="noConversion"/>
  </si>
  <si>
    <t>推荐产品表</t>
  </si>
  <si>
    <t>Name</t>
    <phoneticPr fontId="1" type="noConversion"/>
  </si>
  <si>
    <t>Description</t>
    <phoneticPr fontId="1" type="noConversion"/>
  </si>
  <si>
    <t>Price</t>
    <phoneticPr fontId="1" type="noConversion"/>
  </si>
  <si>
    <t>Total</t>
    <phoneticPr fontId="1" type="noConversion"/>
  </si>
  <si>
    <t>Unit</t>
    <phoneticPr fontId="1" type="noConversion"/>
  </si>
  <si>
    <t>StartDate</t>
    <phoneticPr fontId="1" type="noConversion"/>
  </si>
  <si>
    <t>EndDate</t>
    <phoneticPr fontId="1" type="noConversion"/>
  </si>
  <si>
    <t>DisCount</t>
    <phoneticPr fontId="1" type="noConversion"/>
  </si>
  <si>
    <t>CrUserID</t>
    <phoneticPr fontId="1" type="noConversion"/>
  </si>
  <si>
    <t>UpUser</t>
    <phoneticPr fontId="1" type="noConversion"/>
  </si>
  <si>
    <t>更新人</t>
    <phoneticPr fontId="1" type="noConversion"/>
  </si>
  <si>
    <t>VARCHAR(100)</t>
    <phoneticPr fontId="1" type="noConversion"/>
  </si>
  <si>
    <t>money</t>
    <phoneticPr fontId="1" type="noConversion"/>
  </si>
  <si>
    <t>int</t>
    <phoneticPr fontId="1" type="noConversion"/>
  </si>
  <si>
    <t>VARCHAR(20)</t>
    <phoneticPr fontId="1" type="noConversion"/>
  </si>
  <si>
    <t>decimal(3,2)</t>
    <phoneticPr fontId="1" type="noConversion"/>
  </si>
  <si>
    <t>产品名称</t>
    <phoneticPr fontId="1" type="noConversion"/>
  </si>
  <si>
    <t>产品描述</t>
    <phoneticPr fontId="1" type="noConversion"/>
  </si>
  <si>
    <t>单价</t>
    <phoneticPr fontId="1" type="noConversion"/>
  </si>
  <si>
    <t>数量</t>
    <phoneticPr fontId="1" type="noConversion"/>
  </si>
  <si>
    <t>总价</t>
    <phoneticPr fontId="1" type="noConversion"/>
  </si>
  <si>
    <t>单位</t>
    <phoneticPr fontId="1" type="noConversion"/>
  </si>
  <si>
    <t>有效期始</t>
    <phoneticPr fontId="1" type="noConversion"/>
  </si>
  <si>
    <t>有效期至</t>
    <phoneticPr fontId="1" type="noConversion"/>
  </si>
  <si>
    <t>折扣</t>
    <phoneticPr fontId="1" type="noConversion"/>
  </si>
  <si>
    <t>t_Project</t>
    <phoneticPr fontId="1" type="noConversion"/>
  </si>
  <si>
    <t>Amount</t>
    <phoneticPr fontId="1" type="noConversion"/>
  </si>
  <si>
    <t>产品表</t>
    <phoneticPr fontId="1" type="noConversion"/>
  </si>
  <si>
    <t>推荐表</t>
  </si>
  <si>
    <t>推荐表</t>
    <phoneticPr fontId="1" type="noConversion"/>
  </si>
  <si>
    <t>产品ID</t>
    <phoneticPr fontId="1" type="noConversion"/>
  </si>
  <si>
    <t>推荐人ID</t>
    <phoneticPr fontId="1" type="noConversion"/>
  </si>
  <si>
    <t>推荐时间</t>
    <phoneticPr fontId="1" type="noConversion"/>
  </si>
  <si>
    <t>当前状态</t>
    <phoneticPr fontId="1" type="noConversion"/>
  </si>
  <si>
    <t>状态信息</t>
    <phoneticPr fontId="1" type="noConversion"/>
  </si>
  <si>
    <t>产品价格</t>
    <phoneticPr fontId="1" type="noConversion"/>
  </si>
  <si>
    <t>客户ID</t>
    <phoneticPr fontId="1" type="noConversion"/>
  </si>
  <si>
    <t>uniqueidentifier</t>
  </si>
  <si>
    <t>uniqueidentifier</t>
    <phoneticPr fontId="1" type="noConversion"/>
  </si>
  <si>
    <t>流水号</t>
    <phoneticPr fontId="1" type="noConversion"/>
  </si>
  <si>
    <t>t_Order</t>
    <phoneticPr fontId="1" type="noConversion"/>
  </si>
  <si>
    <t>t_Order</t>
    <phoneticPr fontId="1" type="noConversion"/>
  </si>
  <si>
    <t>VARCHAR(200)</t>
    <phoneticPr fontId="1" type="noConversion"/>
  </si>
  <si>
    <t>OrderNo</t>
    <phoneticPr fontId="1" type="noConversion"/>
  </si>
  <si>
    <t>CusID</t>
    <phoneticPr fontId="1" type="noConversion"/>
  </si>
  <si>
    <t>ProID</t>
    <phoneticPr fontId="1" type="noConversion"/>
  </si>
  <si>
    <t>ProMoney</t>
    <phoneticPr fontId="1" type="noConversion"/>
  </si>
  <si>
    <t>State</t>
    <phoneticPr fontId="1" type="noConversion"/>
  </si>
  <si>
    <t>StateInfo</t>
    <phoneticPr fontId="1" type="noConversion"/>
  </si>
  <si>
    <t>CrTime</t>
    <phoneticPr fontId="1" type="noConversion"/>
  </si>
  <si>
    <t>t_Fee</t>
  </si>
  <si>
    <t>t_Fee</t>
    <phoneticPr fontId="1" type="noConversion"/>
  </si>
  <si>
    <t>佣金表</t>
  </si>
  <si>
    <t>佣金表</t>
    <phoneticPr fontId="1" type="noConversion"/>
  </si>
  <si>
    <t>订单ID</t>
    <phoneticPr fontId="1" type="noConversion"/>
  </si>
  <si>
    <t>佣金金额</t>
    <phoneticPr fontId="1" type="noConversion"/>
  </si>
  <si>
    <t>是否已支付</t>
    <phoneticPr fontId="1" type="noConversion"/>
  </si>
  <si>
    <t>创建人ID</t>
    <phoneticPr fontId="1" type="noConversion"/>
  </si>
  <si>
    <t>创建人</t>
    <phoneticPr fontId="1" type="noConversion"/>
  </si>
  <si>
    <t>审核人ID</t>
    <phoneticPr fontId="1" type="noConversion"/>
  </si>
  <si>
    <t>审核人</t>
    <phoneticPr fontId="1" type="noConversion"/>
  </si>
  <si>
    <t>创建时间</t>
    <phoneticPr fontId="1" type="noConversion"/>
  </si>
  <si>
    <t>OrderID</t>
    <phoneticPr fontId="1" type="noConversion"/>
  </si>
  <si>
    <t>Money</t>
    <phoneticPr fontId="1" type="noConversion"/>
  </si>
  <si>
    <t>IsPay</t>
    <phoneticPr fontId="1" type="noConversion"/>
  </si>
  <si>
    <t>PayeeID</t>
    <phoneticPr fontId="1" type="noConversion"/>
  </si>
  <si>
    <t>CrUserID</t>
    <phoneticPr fontId="1" type="noConversion"/>
  </si>
  <si>
    <t>CrUser</t>
    <phoneticPr fontId="1" type="noConversion"/>
  </si>
  <si>
    <t>CrUser</t>
    <phoneticPr fontId="1" type="noConversion"/>
  </si>
  <si>
    <t>ApproverID</t>
    <phoneticPr fontId="1" type="noConversion"/>
  </si>
  <si>
    <t>Approver</t>
    <phoneticPr fontId="1" type="noConversion"/>
  </si>
  <si>
    <t>int</t>
    <phoneticPr fontId="1" type="noConversion"/>
  </si>
  <si>
    <t>money</t>
    <phoneticPr fontId="1" type="noConversion"/>
  </si>
  <si>
    <t>bit</t>
    <phoneticPr fontId="1" type="noConversion"/>
  </si>
  <si>
    <t>t_BasicInfoType</t>
    <phoneticPr fontId="1" type="noConversion"/>
  </si>
  <si>
    <t>基本代码类型</t>
  </si>
  <si>
    <t>基本代码类型</t>
    <phoneticPr fontId="1" type="noConversion"/>
  </si>
  <si>
    <t>t_BasicInfoContent</t>
    <phoneticPr fontId="1" type="noConversion"/>
  </si>
  <si>
    <t>int</t>
    <phoneticPr fontId="1" type="noConversion"/>
  </si>
  <si>
    <t>TypeID</t>
    <phoneticPr fontId="1" type="noConversion"/>
  </si>
  <si>
    <t>类型ID</t>
    <phoneticPr fontId="1" type="noConversion"/>
  </si>
  <si>
    <t>TypeName</t>
    <phoneticPr fontId="1" type="noConversion"/>
  </si>
  <si>
    <t>类型名称</t>
    <phoneticPr fontId="1" type="noConversion"/>
  </si>
  <si>
    <t>varchar(20)</t>
    <phoneticPr fontId="1" type="noConversion"/>
  </si>
  <si>
    <t>CrUserId</t>
    <phoneticPr fontId="1" type="noConversion"/>
  </si>
  <si>
    <t>CrUser</t>
    <phoneticPr fontId="1" type="noConversion"/>
  </si>
  <si>
    <t>UpTime</t>
    <phoneticPr fontId="1" type="noConversion"/>
  </si>
  <si>
    <t>UpUser</t>
    <phoneticPr fontId="1" type="noConversion"/>
  </si>
  <si>
    <t>DelFlag</t>
    <phoneticPr fontId="1" type="noConversion"/>
  </si>
  <si>
    <t>CrTime</t>
    <phoneticPr fontId="1" type="noConversion"/>
  </si>
  <si>
    <t>创建时间</t>
    <phoneticPr fontId="1" type="noConversion"/>
  </si>
  <si>
    <t>更新时间</t>
    <phoneticPr fontId="1" type="noConversion"/>
  </si>
  <si>
    <t>更新人</t>
    <phoneticPr fontId="1" type="noConversion"/>
  </si>
  <si>
    <t>禁用标记</t>
    <phoneticPr fontId="1" type="noConversion"/>
  </si>
  <si>
    <t>bit</t>
    <phoneticPr fontId="1" type="noConversion"/>
  </si>
  <si>
    <t>SequenceOrder</t>
    <phoneticPr fontId="1" type="noConversion"/>
  </si>
  <si>
    <t>排列序号</t>
    <phoneticPr fontId="1" type="noConversion"/>
  </si>
  <si>
    <t>t_BasicInfoType</t>
    <phoneticPr fontId="1" type="noConversion"/>
  </si>
  <si>
    <t>t_BasicInfoContent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</si>
</sst>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8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u/>
      <sz val="11"/>
      <color theme="10"/>
      <name val="宋体"/>
      <family val="3"/>
      <charset val="134"/>
    </font>
    <font>
      <sz val="11"/>
      <color theme="7" tint="-0.249977111117893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6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theme="7" tint="-0.499984740745262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b/>
      <sz val="11"/>
      <color theme="7" tint="-0.499984740745262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trike/>
      <sz val="11"/>
      <color theme="1"/>
      <name val="宋体"/>
      <family val="2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trike/>
      <sz val="11"/>
      <color theme="7" tint="-0.249977111117893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0" fillId="0" borderId="0">
      <alignment vertical="center"/>
    </xf>
    <xf numFmtId="0" fontId="17" fillId="0" borderId="0">
      <alignment vertical="center"/>
    </xf>
    <xf numFmtId="0" fontId="18" fillId="0" borderId="0" applyNumberFormat="0" applyFill="0" applyBorder="0" applyAlignment="0" applyProtection="0">
      <alignment vertical="top"/>
      <protection locked="0"/>
    </xf>
    <xf numFmtId="0" fontId="19" fillId="0" borderId="0">
      <alignment vertical="center"/>
    </xf>
    <xf numFmtId="0" fontId="7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</cellStyleXfs>
  <cellXfs count="5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4" fillId="2" borderId="1" xfId="1" applyFill="1" applyBorder="1" applyAlignment="1" applyProtection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6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16" fillId="0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3" xfId="0" applyFill="1" applyBorder="1">
      <alignment vertical="center"/>
    </xf>
    <xf numFmtId="0" fontId="8" fillId="0" borderId="1" xfId="0" applyFont="1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1" applyFont="1" applyFill="1" applyBorder="1" applyAlignment="1" applyProtection="1">
      <alignment horizontal="center" vertical="center"/>
    </xf>
    <xf numFmtId="0" fontId="20" fillId="0" borderId="1" xfId="0" applyFon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1" xfId="0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3" fillId="0" borderId="1" xfId="0" applyFont="1" applyFill="1" applyBorder="1">
      <alignment vertical="center"/>
    </xf>
    <xf numFmtId="0" fontId="0" fillId="0" borderId="5" xfId="0" applyFill="1" applyBorder="1">
      <alignment vertical="center"/>
    </xf>
    <xf numFmtId="0" fontId="24" fillId="0" borderId="1" xfId="1" applyFont="1" applyFill="1" applyBorder="1" applyAlignment="1" applyProtection="1">
      <alignment horizontal="center" vertical="center"/>
    </xf>
    <xf numFmtId="0" fontId="5" fillId="0" borderId="2" xfId="1" applyFont="1" applyFill="1" applyBorder="1" applyAlignment="1" applyProtection="1">
      <alignment horizontal="center" vertical="center"/>
    </xf>
    <xf numFmtId="0" fontId="8" fillId="0" borderId="5" xfId="0" applyFont="1" applyFill="1" applyBorder="1">
      <alignment vertical="center"/>
    </xf>
    <xf numFmtId="0" fontId="20" fillId="0" borderId="5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1" applyFill="1" applyBorder="1" applyAlignment="1" applyProtection="1">
      <alignment vertical="center"/>
    </xf>
    <xf numFmtId="0" fontId="8" fillId="0" borderId="0" xfId="0" applyFont="1" applyFill="1" applyAlignment="1">
      <alignment horizontal="center" vertical="center"/>
    </xf>
    <xf numFmtId="0" fontId="0" fillId="0" borderId="4" xfId="0" applyFill="1" applyBorder="1">
      <alignment vertical="center"/>
    </xf>
    <xf numFmtId="0" fontId="21" fillId="0" borderId="1" xfId="0" applyFont="1" applyFill="1" applyBorder="1">
      <alignment vertical="center"/>
    </xf>
    <xf numFmtId="0" fontId="22" fillId="0" borderId="0" xfId="0" applyFont="1" applyFill="1" applyBorder="1">
      <alignment vertical="center"/>
    </xf>
    <xf numFmtId="0" fontId="23" fillId="0" borderId="0" xfId="0" applyFont="1" applyFill="1">
      <alignment vertical="center"/>
    </xf>
    <xf numFmtId="0" fontId="23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25" fillId="0" borderId="4" xfId="0" applyFont="1" applyFill="1" applyBorder="1">
      <alignment vertical="center"/>
    </xf>
    <xf numFmtId="0" fontId="23" fillId="0" borderId="4" xfId="0" applyFont="1" applyFill="1" applyBorder="1">
      <alignment vertical="center"/>
    </xf>
    <xf numFmtId="0" fontId="4" fillId="0" borderId="1" xfId="1" applyFill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</cellXfs>
  <cellStyles count="11">
    <cellStyle name="AutoFormat-Optionen_副本Xl0000004" xfId="3"/>
    <cellStyle name="常规" xfId="0" builtinId="0"/>
    <cellStyle name="常规 2" xfId="4"/>
    <cellStyle name="常规 3" xfId="5"/>
    <cellStyle name="常规 3 2" xfId="8"/>
    <cellStyle name="常规 4" xfId="7"/>
    <cellStyle name="常规 4 2" xfId="10"/>
    <cellStyle name="超链接" xfId="1" builtinId="8"/>
    <cellStyle name="超链接 2" xfId="2"/>
    <cellStyle name="超链接 3" xfId="6"/>
    <cellStyle name="超链接 3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66675</xdr:rowOff>
        </xdr:from>
        <xdr:to>
          <xdr:col>11</xdr:col>
          <xdr:colOff>466725</xdr:colOff>
          <xdr:row>2</xdr:row>
          <xdr:rowOff>19050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114300</xdr:rowOff>
        </xdr:from>
        <xdr:to>
          <xdr:col>9</xdr:col>
          <xdr:colOff>561975</xdr:colOff>
          <xdr:row>1</xdr:row>
          <xdr:rowOff>257175</xdr:rowOff>
        </xdr:to>
        <xdr:sp macro="" textlink="">
          <xdr:nvSpPr>
            <xdr:cNvPr id="2051" name="Label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</xdr:rowOff>
        </xdr:from>
        <xdr:to>
          <xdr:col>8</xdr:col>
          <xdr:colOff>762000</xdr:colOff>
          <xdr:row>1</xdr:row>
          <xdr:rowOff>266700</xdr:rowOff>
        </xdr:to>
        <xdr:sp macro="" textlink="">
          <xdr:nvSpPr>
            <xdr:cNvPr id="2057" name="btnTyp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6:F23"/>
  <sheetViews>
    <sheetView workbookViewId="0">
      <selection activeCell="D20" sqref="D20"/>
    </sheetView>
  </sheetViews>
  <sheetFormatPr defaultRowHeight="13.5"/>
  <cols>
    <col min="3" max="6" width="18.625" customWidth="1"/>
  </cols>
  <sheetData>
    <row r="6" spans="3:6" ht="13.5" customHeight="1">
      <c r="C6" s="47" t="s">
        <v>22</v>
      </c>
      <c r="D6" s="48"/>
      <c r="E6" s="48"/>
      <c r="F6" s="48"/>
    </row>
    <row r="7" spans="3:6" ht="13.5" customHeight="1">
      <c r="C7" s="48"/>
      <c r="D7" s="48"/>
      <c r="E7" s="48"/>
      <c r="F7" s="48"/>
    </row>
    <row r="8" spans="3:6" ht="13.5" customHeight="1">
      <c r="C8" s="48"/>
      <c r="D8" s="48"/>
      <c r="E8" s="48"/>
      <c r="F8" s="48"/>
    </row>
    <row r="9" spans="3:6" ht="13.5" customHeight="1">
      <c r="C9" s="48"/>
      <c r="D9" s="48"/>
      <c r="E9" s="48"/>
      <c r="F9" s="48"/>
    </row>
    <row r="10" spans="3:6" ht="13.5" customHeight="1">
      <c r="C10" s="48"/>
      <c r="D10" s="48"/>
      <c r="E10" s="48"/>
      <c r="F10" s="48"/>
    </row>
    <row r="11" spans="3:6" ht="13.5" customHeight="1">
      <c r="C11" s="48"/>
      <c r="D11" s="48"/>
      <c r="E11" s="48"/>
      <c r="F11" s="48"/>
    </row>
    <row r="12" spans="3:6" ht="13.5" customHeight="1">
      <c r="C12" s="48"/>
      <c r="D12" s="48"/>
      <c r="E12" s="48"/>
      <c r="F12" s="48"/>
    </row>
    <row r="13" spans="3:6" ht="13.5" customHeight="1">
      <c r="C13" s="48"/>
      <c r="D13" s="48"/>
      <c r="E13" s="48"/>
      <c r="F13" s="48"/>
    </row>
    <row r="14" spans="3:6">
      <c r="C14" s="1" t="s">
        <v>6</v>
      </c>
      <c r="D14" s="25" t="s">
        <v>21</v>
      </c>
      <c r="E14" s="1" t="s">
        <v>7</v>
      </c>
      <c r="F14" s="5">
        <v>43118</v>
      </c>
    </row>
    <row r="15" spans="3:6">
      <c r="C15" s="3"/>
      <c r="D15" s="3"/>
      <c r="E15" s="3"/>
      <c r="F15" s="3"/>
    </row>
    <row r="16" spans="3:6">
      <c r="C16" s="1" t="s">
        <v>8</v>
      </c>
      <c r="D16" s="1" t="s">
        <v>9</v>
      </c>
      <c r="E16" s="1" t="s">
        <v>10</v>
      </c>
      <c r="F16" s="1" t="s">
        <v>5</v>
      </c>
    </row>
    <row r="17" spans="3:6">
      <c r="C17" s="5">
        <v>43118</v>
      </c>
      <c r="D17" s="25" t="s">
        <v>21</v>
      </c>
      <c r="E17" s="3" t="s">
        <v>11</v>
      </c>
      <c r="F17" s="3" t="s">
        <v>12</v>
      </c>
    </row>
    <row r="18" spans="3:6">
      <c r="C18" s="5"/>
      <c r="D18" s="3"/>
      <c r="E18" s="3"/>
      <c r="F18" s="3"/>
    </row>
    <row r="19" spans="3:6">
      <c r="C19" s="3"/>
      <c r="D19" s="3"/>
      <c r="E19" s="3"/>
      <c r="F19" s="3"/>
    </row>
    <row r="20" spans="3:6">
      <c r="C20" s="3"/>
      <c r="D20" s="3"/>
      <c r="E20" s="3"/>
      <c r="F20" s="3"/>
    </row>
    <row r="21" spans="3:6">
      <c r="C21" s="3"/>
      <c r="D21" s="3"/>
      <c r="E21" s="3"/>
      <c r="F21" s="3"/>
    </row>
    <row r="23" spans="3:6">
      <c r="C23" t="s">
        <v>16</v>
      </c>
    </row>
  </sheetData>
  <mergeCells count="1">
    <mergeCell ref="C6:F13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99"/>
  <sheetViews>
    <sheetView zoomScaleNormal="100" workbookViewId="0">
      <pane ySplit="3" topLeftCell="A4" activePane="bottomLeft" state="frozen"/>
      <selection activeCell="B1" sqref="B1"/>
      <selection pane="bottomLeft"/>
    </sheetView>
  </sheetViews>
  <sheetFormatPr defaultRowHeight="13.5"/>
  <cols>
    <col min="1" max="1" width="3.625" style="15" customWidth="1"/>
    <col min="2" max="2" width="9" style="20"/>
    <col min="3" max="3" width="14.875" style="20" customWidth="1"/>
    <col min="4" max="4" width="27.25" style="17" bestFit="1" customWidth="1"/>
    <col min="5" max="5" width="8" style="37" customWidth="1"/>
    <col min="6" max="6" width="34.75" style="17" customWidth="1"/>
    <col min="7" max="7" width="18.75" style="17" customWidth="1"/>
    <col min="8" max="8" width="2.5" style="17" customWidth="1"/>
    <col min="9" max="9" width="10.75" style="17" customWidth="1"/>
    <col min="10" max="16384" width="9" style="17"/>
  </cols>
  <sheetData>
    <row r="1" spans="1:7">
      <c r="A1" s="36" t="s">
        <v>17</v>
      </c>
    </row>
    <row r="2" spans="1:7" ht="22.5">
      <c r="B2" s="49" t="s">
        <v>0</v>
      </c>
      <c r="C2" s="50"/>
      <c r="D2" s="50"/>
      <c r="E2" s="50"/>
      <c r="F2" s="50"/>
      <c r="G2" s="51"/>
    </row>
    <row r="3" spans="1:7">
      <c r="B3" s="33" t="s">
        <v>1</v>
      </c>
      <c r="C3" s="33" t="s">
        <v>18</v>
      </c>
      <c r="D3" s="33" t="s">
        <v>2</v>
      </c>
      <c r="E3" s="33" t="s">
        <v>3</v>
      </c>
      <c r="F3" s="33" t="s">
        <v>4</v>
      </c>
      <c r="G3" s="2" t="s">
        <v>5</v>
      </c>
    </row>
    <row r="4" spans="1:7">
      <c r="A4" s="15" t="s">
        <v>19</v>
      </c>
      <c r="B4" s="21">
        <v>1</v>
      </c>
      <c r="C4" s="21"/>
      <c r="D4" s="4" t="s">
        <v>33</v>
      </c>
      <c r="E4" s="46" t="str">
        <f>HYPERLINK("#"&amp;D4&amp;"!A1","链接")</f>
        <v>链接</v>
      </c>
      <c r="F4" s="4" t="s">
        <v>31</v>
      </c>
      <c r="G4" s="38"/>
    </row>
    <row r="5" spans="1:7">
      <c r="A5" s="15" t="s">
        <v>19</v>
      </c>
      <c r="B5" s="21">
        <v>2</v>
      </c>
      <c r="C5" s="21"/>
      <c r="D5" s="4" t="s">
        <v>56</v>
      </c>
      <c r="E5" s="46" t="str">
        <f>HYPERLINK("#"&amp;D5&amp;"!A1","链接")</f>
        <v>链接</v>
      </c>
      <c r="F5" s="4" t="s">
        <v>58</v>
      </c>
      <c r="G5" s="38"/>
    </row>
    <row r="6" spans="1:7">
      <c r="A6" s="15" t="s">
        <v>19</v>
      </c>
      <c r="B6" s="21">
        <v>3</v>
      </c>
      <c r="C6" s="21"/>
      <c r="D6" s="4" t="s">
        <v>76</v>
      </c>
      <c r="E6" s="46" t="str">
        <f>HYPERLINK("#"&amp;D6&amp;"!A1","链接")</f>
        <v>链接</v>
      </c>
      <c r="F6" s="4" t="s">
        <v>105</v>
      </c>
      <c r="G6" s="38"/>
    </row>
    <row r="7" spans="1:7">
      <c r="A7" s="15" t="s">
        <v>19</v>
      </c>
      <c r="B7" s="21">
        <v>4</v>
      </c>
      <c r="C7" s="21"/>
      <c r="D7" s="4" t="s">
        <v>118</v>
      </c>
      <c r="E7" s="46" t="str">
        <f>HYPERLINK("#"&amp;D7&amp;"!A1","链接")</f>
        <v>链接</v>
      </c>
      <c r="F7" s="4" t="s">
        <v>107</v>
      </c>
      <c r="G7" s="38"/>
    </row>
    <row r="8" spans="1:7">
      <c r="A8" s="15" t="s">
        <v>19</v>
      </c>
      <c r="B8" s="21">
        <v>5</v>
      </c>
      <c r="C8" s="21"/>
      <c r="D8" s="4" t="s">
        <v>129</v>
      </c>
      <c r="E8" s="46" t="str">
        <f>HYPERLINK("#"&amp;D8&amp;"!A1","链接")</f>
        <v>链接</v>
      </c>
      <c r="F8" s="4" t="s">
        <v>131</v>
      </c>
      <c r="G8" s="4"/>
    </row>
    <row r="9" spans="1:7">
      <c r="A9" s="15" t="s">
        <v>19</v>
      </c>
      <c r="B9" s="21">
        <v>6</v>
      </c>
      <c r="C9" s="21"/>
      <c r="D9" s="4" t="s">
        <v>152</v>
      </c>
      <c r="E9" s="46" t="str">
        <f>HYPERLINK("#"&amp;D9&amp;"!A1","链接")</f>
        <v>链接</v>
      </c>
      <c r="F9" s="4" t="s">
        <v>154</v>
      </c>
      <c r="G9" s="38"/>
    </row>
    <row r="10" spans="1:7">
      <c r="A10" s="15" t="s">
        <v>19</v>
      </c>
      <c r="B10" s="21">
        <v>7</v>
      </c>
      <c r="C10" s="21"/>
      <c r="D10" s="4" t="s">
        <v>155</v>
      </c>
      <c r="E10" s="46" t="str">
        <f>HYPERLINK("#"&amp;D10&amp;"!A1","链接")</f>
        <v>链接</v>
      </c>
      <c r="F10" s="4" t="s">
        <v>154</v>
      </c>
      <c r="G10" s="38"/>
    </row>
    <row r="11" spans="1:7">
      <c r="A11" s="15" t="s">
        <v>19</v>
      </c>
      <c r="B11" s="21"/>
      <c r="C11" s="21"/>
      <c r="D11" s="4"/>
      <c r="E11" s="22"/>
      <c r="F11" s="4"/>
      <c r="G11" s="38"/>
    </row>
    <row r="12" spans="1:7">
      <c r="A12" s="15" t="s">
        <v>19</v>
      </c>
      <c r="B12" s="21"/>
      <c r="C12" s="21"/>
      <c r="D12" s="4"/>
      <c r="E12" s="22"/>
      <c r="F12" s="4"/>
      <c r="G12" s="38"/>
    </row>
    <row r="13" spans="1:7">
      <c r="A13" s="15" t="s">
        <v>19</v>
      </c>
      <c r="B13" s="21"/>
      <c r="C13" s="21"/>
      <c r="D13" s="4"/>
      <c r="E13" s="22"/>
      <c r="F13" s="4"/>
      <c r="G13" s="38"/>
    </row>
    <row r="14" spans="1:7">
      <c r="A14" s="15" t="s">
        <v>19</v>
      </c>
      <c r="B14" s="21"/>
      <c r="C14" s="21"/>
      <c r="D14" s="4"/>
      <c r="E14" s="22"/>
      <c r="F14" s="4"/>
      <c r="G14" s="38"/>
    </row>
    <row r="15" spans="1:7">
      <c r="A15" s="15" t="s">
        <v>19</v>
      </c>
      <c r="B15" s="21"/>
      <c r="C15" s="21"/>
      <c r="D15" s="4"/>
      <c r="E15" s="22"/>
      <c r="F15" s="4"/>
      <c r="G15" s="38"/>
    </row>
    <row r="16" spans="1:7">
      <c r="A16" s="15" t="s">
        <v>19</v>
      </c>
      <c r="B16" s="21"/>
      <c r="C16" s="21"/>
      <c r="D16" s="4"/>
      <c r="E16" s="22"/>
      <c r="F16" s="4"/>
      <c r="G16" s="4"/>
    </row>
    <row r="17" spans="1:7">
      <c r="A17" s="15" t="s">
        <v>19</v>
      </c>
      <c r="B17" s="21"/>
      <c r="C17" s="21"/>
      <c r="D17" s="4"/>
      <c r="E17" s="22"/>
      <c r="F17" s="4"/>
      <c r="G17" s="38"/>
    </row>
    <row r="18" spans="1:7">
      <c r="A18" s="15" t="s">
        <v>19</v>
      </c>
      <c r="B18" s="21"/>
      <c r="C18" s="21"/>
      <c r="D18" s="4"/>
      <c r="E18" s="22"/>
      <c r="F18" s="4"/>
      <c r="G18" s="38"/>
    </row>
    <row r="19" spans="1:7">
      <c r="A19" s="15" t="s">
        <v>19</v>
      </c>
      <c r="B19" s="21"/>
      <c r="C19" s="21"/>
      <c r="D19" s="4"/>
      <c r="E19" s="22"/>
      <c r="F19" s="4"/>
      <c r="G19" s="38"/>
    </row>
    <row r="20" spans="1:7">
      <c r="A20" s="15" t="s">
        <v>19</v>
      </c>
      <c r="B20" s="21"/>
      <c r="C20" s="21"/>
      <c r="D20" s="4"/>
      <c r="E20" s="22"/>
      <c r="F20" s="4"/>
      <c r="G20" s="38"/>
    </row>
    <row r="21" spans="1:7">
      <c r="A21" s="15" t="s">
        <v>19</v>
      </c>
      <c r="B21" s="21"/>
      <c r="C21" s="21"/>
      <c r="D21" s="4"/>
      <c r="E21" s="22"/>
      <c r="F21" s="4"/>
      <c r="G21" s="38"/>
    </row>
    <row r="22" spans="1:7">
      <c r="A22" s="15" t="s">
        <v>19</v>
      </c>
      <c r="B22" s="21"/>
      <c r="C22" s="21"/>
      <c r="D22" s="4"/>
      <c r="E22" s="22"/>
      <c r="F22" s="4"/>
      <c r="G22" s="38"/>
    </row>
    <row r="23" spans="1:7">
      <c r="A23" s="15" t="s">
        <v>19</v>
      </c>
      <c r="B23" s="21"/>
      <c r="C23" s="21"/>
      <c r="D23" s="4"/>
      <c r="E23" s="22"/>
      <c r="F23" s="4"/>
      <c r="G23" s="38"/>
    </row>
    <row r="24" spans="1:7">
      <c r="A24" s="15" t="s">
        <v>19</v>
      </c>
      <c r="B24" s="21"/>
      <c r="C24" s="21"/>
      <c r="D24" s="4"/>
      <c r="E24" s="22"/>
      <c r="F24" s="4"/>
      <c r="G24" s="38"/>
    </row>
    <row r="25" spans="1:7">
      <c r="A25" s="15" t="s">
        <v>19</v>
      </c>
      <c r="B25" s="21"/>
      <c r="C25" s="21"/>
      <c r="D25" s="4"/>
      <c r="E25" s="22"/>
      <c r="F25" s="4"/>
      <c r="G25" s="38"/>
    </row>
    <row r="26" spans="1:7">
      <c r="A26" s="15" t="s">
        <v>19</v>
      </c>
      <c r="B26" s="21"/>
      <c r="C26" s="21"/>
      <c r="D26" s="4"/>
      <c r="E26" s="22"/>
      <c r="F26" s="4"/>
      <c r="G26" s="38"/>
    </row>
    <row r="27" spans="1:7">
      <c r="A27" s="15" t="s">
        <v>19</v>
      </c>
      <c r="B27" s="21"/>
      <c r="C27" s="21"/>
      <c r="D27" s="4"/>
      <c r="E27" s="22"/>
      <c r="F27" s="4"/>
      <c r="G27" s="38"/>
    </row>
    <row r="28" spans="1:7">
      <c r="B28" s="21"/>
      <c r="C28" s="21"/>
      <c r="D28" s="4"/>
      <c r="E28" s="22"/>
      <c r="F28" s="4"/>
      <c r="G28" s="38"/>
    </row>
    <row r="29" spans="1:7">
      <c r="B29" s="21"/>
      <c r="C29" s="21"/>
      <c r="D29" s="4"/>
      <c r="E29" s="26"/>
      <c r="F29" s="4"/>
      <c r="G29" s="38"/>
    </row>
    <row r="30" spans="1:7">
      <c r="B30" s="21"/>
      <c r="C30" s="21"/>
      <c r="D30" s="4"/>
      <c r="E30" s="26"/>
      <c r="F30" s="4"/>
      <c r="G30" s="38"/>
    </row>
    <row r="31" spans="1:7">
      <c r="B31" s="21"/>
      <c r="C31" s="21"/>
      <c r="D31" s="4"/>
      <c r="E31" s="22"/>
      <c r="F31" s="4"/>
      <c r="G31" s="38"/>
    </row>
    <row r="32" spans="1:7">
      <c r="B32" s="21"/>
      <c r="C32" s="21"/>
      <c r="D32" s="4"/>
      <c r="E32" s="22"/>
      <c r="F32" s="4"/>
      <c r="G32" s="4"/>
    </row>
    <row r="33" spans="1:7">
      <c r="B33" s="21"/>
      <c r="C33" s="21"/>
      <c r="D33" s="4"/>
      <c r="E33" s="26"/>
      <c r="F33" s="4"/>
      <c r="G33" s="4"/>
    </row>
    <row r="34" spans="1:7">
      <c r="B34" s="21"/>
      <c r="C34" s="21"/>
      <c r="D34" s="4"/>
      <c r="E34" s="26"/>
      <c r="F34" s="4"/>
      <c r="G34" s="4"/>
    </row>
    <row r="35" spans="1:7">
      <c r="B35" s="21"/>
      <c r="C35" s="21"/>
      <c r="D35" s="4"/>
      <c r="E35" s="26"/>
      <c r="F35" s="4"/>
      <c r="G35" s="4"/>
    </row>
    <row r="36" spans="1:7">
      <c r="B36" s="21"/>
      <c r="C36" s="21"/>
      <c r="D36" s="4"/>
      <c r="E36" s="26"/>
      <c r="F36" s="4"/>
      <c r="G36" s="4"/>
    </row>
    <row r="37" spans="1:7">
      <c r="A37" s="15" t="s">
        <v>19</v>
      </c>
      <c r="B37" s="21"/>
      <c r="C37" s="21"/>
      <c r="D37" s="27"/>
      <c r="E37" s="29"/>
      <c r="F37" s="27"/>
      <c r="G37" s="4"/>
    </row>
    <row r="38" spans="1:7">
      <c r="A38" s="15" t="s">
        <v>19</v>
      </c>
      <c r="B38" s="21"/>
      <c r="C38" s="21"/>
      <c r="D38" s="27"/>
      <c r="E38" s="29"/>
      <c r="F38" s="27"/>
      <c r="G38" s="38"/>
    </row>
    <row r="39" spans="1:7">
      <c r="A39" s="15" t="s">
        <v>19</v>
      </c>
      <c r="B39" s="21"/>
      <c r="C39" s="21"/>
      <c r="D39" s="4"/>
      <c r="E39" s="22"/>
      <c r="F39" s="4"/>
      <c r="G39" s="4"/>
    </row>
    <row r="40" spans="1:7">
      <c r="A40" s="15" t="s">
        <v>19</v>
      </c>
      <c r="B40" s="21"/>
      <c r="C40" s="21"/>
      <c r="D40" s="4"/>
      <c r="E40" s="22"/>
      <c r="F40" s="4"/>
      <c r="G40" s="4"/>
    </row>
    <row r="41" spans="1:7">
      <c r="A41" s="15" t="s">
        <v>19</v>
      </c>
      <c r="B41" s="21"/>
      <c r="C41" s="21"/>
      <c r="D41" s="4"/>
      <c r="E41" s="22"/>
      <c r="F41" s="4"/>
      <c r="G41" s="4"/>
    </row>
    <row r="42" spans="1:7">
      <c r="A42" s="15" t="s">
        <v>19</v>
      </c>
      <c r="B42" s="21"/>
      <c r="C42" s="21"/>
      <c r="D42" s="4"/>
      <c r="E42" s="22"/>
      <c r="F42" s="4"/>
      <c r="G42" s="4"/>
    </row>
    <row r="43" spans="1:7">
      <c r="A43" s="15" t="s">
        <v>19</v>
      </c>
      <c r="B43" s="21"/>
      <c r="C43" s="21"/>
      <c r="D43" s="4"/>
      <c r="E43" s="22"/>
      <c r="F43" s="4"/>
      <c r="G43" s="4"/>
    </row>
    <row r="44" spans="1:7">
      <c r="A44" s="15" t="s">
        <v>19</v>
      </c>
      <c r="B44" s="21"/>
      <c r="C44" s="21"/>
      <c r="D44" s="4"/>
      <c r="E44" s="22"/>
      <c r="F44" s="4"/>
      <c r="G44" s="4"/>
    </row>
    <row r="45" spans="1:7">
      <c r="A45" s="15" t="s">
        <v>19</v>
      </c>
      <c r="B45" s="21"/>
      <c r="C45" s="21"/>
      <c r="D45" s="4"/>
      <c r="E45" s="22"/>
      <c r="F45" s="4"/>
      <c r="G45" s="4"/>
    </row>
    <row r="46" spans="1:7">
      <c r="A46" s="15" t="s">
        <v>19</v>
      </c>
      <c r="B46" s="21"/>
      <c r="C46" s="21"/>
      <c r="D46" s="4"/>
      <c r="E46" s="22"/>
      <c r="F46" s="4"/>
      <c r="G46" s="4"/>
    </row>
    <row r="47" spans="1:7">
      <c r="A47" s="15" t="s">
        <v>19</v>
      </c>
      <c r="B47" s="21"/>
      <c r="C47" s="21"/>
      <c r="D47" s="4"/>
      <c r="E47" s="22"/>
      <c r="F47" s="4"/>
      <c r="G47" s="4"/>
    </row>
    <row r="48" spans="1:7">
      <c r="A48" s="15" t="s">
        <v>19</v>
      </c>
      <c r="B48" s="21"/>
      <c r="C48" s="21"/>
      <c r="D48" s="18"/>
      <c r="E48" s="22"/>
      <c r="F48" s="18"/>
      <c r="G48" s="4"/>
    </row>
    <row r="49" spans="1:7">
      <c r="A49" s="15" t="s">
        <v>19</v>
      </c>
      <c r="B49" s="21"/>
      <c r="C49" s="21"/>
      <c r="D49" s="18"/>
      <c r="E49" s="30"/>
      <c r="F49" s="18"/>
      <c r="G49" s="4"/>
    </row>
    <row r="50" spans="1:7">
      <c r="A50" s="15" t="s">
        <v>19</v>
      </c>
      <c r="B50" s="21"/>
      <c r="C50" s="21"/>
      <c r="D50" s="4"/>
      <c r="E50" s="22"/>
      <c r="F50" s="4"/>
      <c r="G50" s="4"/>
    </row>
    <row r="51" spans="1:7">
      <c r="A51" s="15" t="s">
        <v>19</v>
      </c>
      <c r="B51" s="21"/>
      <c r="C51" s="21"/>
      <c r="D51" s="4"/>
      <c r="E51" s="22"/>
      <c r="F51" s="4"/>
      <c r="G51" s="4"/>
    </row>
    <row r="52" spans="1:7">
      <c r="A52" s="15" t="s">
        <v>19</v>
      </c>
      <c r="B52" s="21"/>
      <c r="C52" s="21"/>
      <c r="D52" s="4"/>
      <c r="E52" s="22"/>
      <c r="F52" s="4"/>
      <c r="G52" s="4"/>
    </row>
    <row r="53" spans="1:7">
      <c r="A53" s="15" t="s">
        <v>19</v>
      </c>
      <c r="B53" s="21"/>
      <c r="C53" s="21"/>
      <c r="D53" s="4"/>
      <c r="E53" s="22"/>
      <c r="F53" s="4"/>
      <c r="G53" s="4"/>
    </row>
    <row r="54" spans="1:7">
      <c r="A54" s="15" t="s">
        <v>19</v>
      </c>
      <c r="B54" s="21"/>
      <c r="C54" s="21"/>
      <c r="D54" s="4"/>
      <c r="E54" s="22"/>
      <c r="F54" s="4"/>
      <c r="G54" s="4"/>
    </row>
    <row r="55" spans="1:7">
      <c r="A55" s="15" t="s">
        <v>19</v>
      </c>
      <c r="B55" s="21"/>
      <c r="C55" s="21"/>
      <c r="D55" s="4"/>
      <c r="E55" s="22"/>
      <c r="F55" s="4"/>
      <c r="G55" s="4"/>
    </row>
    <row r="56" spans="1:7">
      <c r="A56" s="15" t="s">
        <v>19</v>
      </c>
      <c r="B56" s="21"/>
      <c r="C56" s="21"/>
      <c r="D56" s="4"/>
      <c r="E56" s="22"/>
      <c r="F56" s="28"/>
      <c r="G56" s="4"/>
    </row>
    <row r="57" spans="1:7">
      <c r="A57" s="15" t="s">
        <v>19</v>
      </c>
      <c r="B57" s="21"/>
      <c r="C57" s="21"/>
      <c r="D57" s="4"/>
      <c r="E57" s="22"/>
      <c r="F57" s="28"/>
      <c r="G57" s="4"/>
    </row>
    <row r="58" spans="1:7">
      <c r="A58" s="15" t="s">
        <v>19</v>
      </c>
      <c r="B58" s="21"/>
      <c r="C58" s="21"/>
      <c r="D58" s="4"/>
      <c r="E58" s="22"/>
      <c r="F58" s="28"/>
      <c r="G58" s="4"/>
    </row>
    <row r="59" spans="1:7">
      <c r="A59" s="15" t="s">
        <v>19</v>
      </c>
      <c r="B59" s="21"/>
      <c r="C59" s="21"/>
      <c r="D59" s="4"/>
      <c r="E59" s="22"/>
      <c r="F59" s="28"/>
      <c r="G59" s="4"/>
    </row>
    <row r="60" spans="1:7">
      <c r="A60" s="15" t="s">
        <v>19</v>
      </c>
      <c r="B60" s="21"/>
      <c r="C60" s="21"/>
      <c r="D60" s="4"/>
      <c r="E60" s="22"/>
      <c r="F60" s="28"/>
      <c r="G60" s="4"/>
    </row>
    <row r="61" spans="1:7">
      <c r="A61" s="15" t="s">
        <v>19</v>
      </c>
      <c r="B61" s="21"/>
      <c r="C61" s="21"/>
      <c r="D61" s="4"/>
      <c r="E61" s="22"/>
      <c r="F61" s="28"/>
      <c r="G61" s="4"/>
    </row>
    <row r="62" spans="1:7">
      <c r="A62" s="15" t="s">
        <v>19</v>
      </c>
      <c r="B62" s="21"/>
      <c r="C62" s="21"/>
      <c r="D62" s="4"/>
      <c r="E62" s="22"/>
      <c r="F62" s="28"/>
      <c r="G62" s="4"/>
    </row>
    <row r="63" spans="1:7">
      <c r="A63" s="15" t="s">
        <v>19</v>
      </c>
      <c r="B63" s="21"/>
      <c r="C63" s="21"/>
      <c r="D63" s="4"/>
      <c r="E63" s="22"/>
      <c r="F63" s="28"/>
      <c r="G63" s="4"/>
    </row>
    <row r="64" spans="1:7">
      <c r="A64" s="15" t="s">
        <v>19</v>
      </c>
      <c r="B64" s="21"/>
      <c r="C64" s="21"/>
      <c r="D64" s="4"/>
      <c r="E64" s="22"/>
      <c r="F64" s="28"/>
      <c r="G64" s="4"/>
    </row>
    <row r="65" spans="1:7">
      <c r="A65" s="15" t="s">
        <v>19</v>
      </c>
      <c r="B65" s="21"/>
      <c r="C65" s="21"/>
      <c r="D65" s="4"/>
      <c r="E65" s="22"/>
      <c r="F65" s="28"/>
      <c r="G65" s="4"/>
    </row>
    <row r="66" spans="1:7">
      <c r="A66" s="15" t="s">
        <v>19</v>
      </c>
      <c r="B66" s="21"/>
      <c r="C66" s="21"/>
      <c r="D66" s="4"/>
      <c r="E66" s="22"/>
      <c r="F66" s="28"/>
      <c r="G66" s="4"/>
    </row>
    <row r="67" spans="1:7">
      <c r="A67" s="15" t="s">
        <v>19</v>
      </c>
      <c r="B67" s="21"/>
      <c r="C67" s="21"/>
      <c r="D67" s="4"/>
      <c r="E67" s="22"/>
      <c r="F67" s="28"/>
      <c r="G67" s="4"/>
    </row>
    <row r="68" spans="1:7">
      <c r="B68" s="21"/>
      <c r="C68" s="21"/>
      <c r="D68" s="4"/>
      <c r="E68" s="26"/>
      <c r="F68" s="31"/>
      <c r="G68" s="4"/>
    </row>
    <row r="69" spans="1:7">
      <c r="B69" s="21"/>
      <c r="C69" s="21"/>
      <c r="D69" s="4"/>
      <c r="E69" s="26"/>
      <c r="F69" s="31"/>
      <c r="G69" s="4"/>
    </row>
    <row r="70" spans="1:7">
      <c r="B70" s="21"/>
      <c r="C70" s="21"/>
      <c r="D70" s="4"/>
      <c r="E70" s="26"/>
      <c r="F70" s="28"/>
      <c r="G70" s="4"/>
    </row>
    <row r="71" spans="1:7">
      <c r="B71" s="21"/>
      <c r="C71" s="21"/>
      <c r="D71" s="4"/>
      <c r="E71" s="22"/>
      <c r="F71" s="4"/>
      <c r="G71" s="38"/>
    </row>
    <row r="72" spans="1:7">
      <c r="B72" s="21"/>
      <c r="C72" s="21"/>
      <c r="D72" s="4"/>
      <c r="E72" s="22"/>
      <c r="F72" s="4"/>
      <c r="G72" s="38"/>
    </row>
    <row r="73" spans="1:7">
      <c r="B73" s="21"/>
      <c r="C73" s="21"/>
      <c r="D73" s="4"/>
      <c r="E73" s="22"/>
      <c r="F73" s="4"/>
      <c r="G73" s="38"/>
    </row>
    <row r="74" spans="1:7">
      <c r="B74" s="21"/>
      <c r="C74" s="21"/>
      <c r="D74" s="4"/>
      <c r="E74" s="22"/>
      <c r="F74" s="4"/>
      <c r="G74" s="38"/>
    </row>
    <row r="75" spans="1:7">
      <c r="B75" s="21"/>
      <c r="C75" s="21"/>
      <c r="D75" s="4"/>
      <c r="E75" s="22"/>
      <c r="F75" s="4"/>
      <c r="G75" s="38"/>
    </row>
    <row r="76" spans="1:7">
      <c r="B76" s="21"/>
      <c r="C76" s="21"/>
      <c r="D76" s="4"/>
      <c r="E76" s="22"/>
      <c r="F76" s="4"/>
      <c r="G76" s="38"/>
    </row>
    <row r="77" spans="1:7">
      <c r="B77" s="21"/>
      <c r="C77" s="21"/>
      <c r="D77" s="4"/>
      <c r="E77" s="22"/>
      <c r="F77" s="4"/>
      <c r="G77" s="38"/>
    </row>
    <row r="78" spans="1:7">
      <c r="B78" s="21"/>
      <c r="C78" s="21"/>
      <c r="D78" s="4"/>
      <c r="E78" s="22"/>
      <c r="F78" s="4"/>
      <c r="G78" s="38"/>
    </row>
    <row r="79" spans="1:7">
      <c r="B79" s="21"/>
      <c r="C79" s="21"/>
      <c r="D79" s="4"/>
      <c r="E79" s="22"/>
      <c r="F79" s="4"/>
      <c r="G79" s="38"/>
    </row>
    <row r="80" spans="1:7">
      <c r="B80" s="21"/>
      <c r="C80" s="21"/>
      <c r="D80" s="4"/>
      <c r="E80" s="22"/>
      <c r="F80" s="19"/>
      <c r="G80" s="38"/>
    </row>
    <row r="81" spans="2:7">
      <c r="B81" s="21"/>
      <c r="C81" s="21"/>
      <c r="D81" s="4"/>
      <c r="E81" s="22"/>
      <c r="F81" s="4"/>
      <c r="G81" s="38"/>
    </row>
    <row r="82" spans="2:7">
      <c r="B82" s="21"/>
      <c r="C82" s="21"/>
      <c r="D82" s="4"/>
      <c r="E82" s="22"/>
      <c r="F82" s="4"/>
      <c r="G82" s="38"/>
    </row>
    <row r="83" spans="2:7">
      <c r="B83" s="21"/>
      <c r="C83" s="21"/>
      <c r="D83" s="4"/>
      <c r="E83" s="22"/>
      <c r="F83" s="4"/>
      <c r="G83" s="38"/>
    </row>
    <row r="84" spans="2:7">
      <c r="B84" s="21"/>
      <c r="C84" s="21"/>
      <c r="D84" s="4"/>
      <c r="E84" s="26"/>
      <c r="F84" s="4"/>
      <c r="G84" s="38"/>
    </row>
    <row r="85" spans="2:7">
      <c r="B85" s="21"/>
      <c r="C85" s="21"/>
      <c r="D85" s="4"/>
      <c r="E85" s="26"/>
      <c r="F85" s="4"/>
      <c r="G85" s="38"/>
    </row>
    <row r="86" spans="2:7">
      <c r="B86" s="21"/>
      <c r="C86" s="21"/>
      <c r="D86" s="4"/>
      <c r="E86" s="26"/>
      <c r="F86" s="4"/>
      <c r="G86" s="38"/>
    </row>
    <row r="87" spans="2:7">
      <c r="B87" s="21"/>
      <c r="C87" s="21"/>
      <c r="D87" s="4"/>
      <c r="E87" s="26"/>
      <c r="F87" s="4"/>
      <c r="G87" s="38"/>
    </row>
    <row r="88" spans="2:7">
      <c r="B88" s="21"/>
      <c r="C88" s="21"/>
      <c r="D88" s="4"/>
      <c r="E88" s="22"/>
      <c r="F88" s="19"/>
      <c r="G88" s="38"/>
    </row>
    <row r="89" spans="2:7">
      <c r="B89" s="21"/>
      <c r="C89" s="21"/>
      <c r="D89" s="4"/>
      <c r="E89" s="22"/>
      <c r="F89" s="4"/>
      <c r="G89" s="38"/>
    </row>
    <row r="90" spans="2:7">
      <c r="B90" s="21"/>
      <c r="C90" s="21"/>
      <c r="D90" s="4"/>
      <c r="E90" s="22"/>
      <c r="F90" s="19"/>
      <c r="G90" s="38"/>
    </row>
    <row r="91" spans="2:7">
      <c r="B91" s="21"/>
      <c r="C91" s="21"/>
      <c r="D91" s="4"/>
      <c r="E91" s="22"/>
      <c r="F91" s="4"/>
      <c r="G91" s="38"/>
    </row>
    <row r="92" spans="2:7">
      <c r="B92" s="21"/>
      <c r="C92" s="21"/>
      <c r="D92" s="4"/>
      <c r="E92" s="22"/>
      <c r="F92" s="4"/>
      <c r="G92" s="38"/>
    </row>
    <row r="93" spans="2:7">
      <c r="B93" s="21"/>
      <c r="C93" s="21"/>
      <c r="D93" s="4"/>
      <c r="E93" s="22"/>
      <c r="F93" s="4"/>
      <c r="G93" s="38"/>
    </row>
    <row r="94" spans="2:7">
      <c r="B94" s="21"/>
      <c r="C94" s="21"/>
      <c r="D94" s="4"/>
      <c r="E94" s="22"/>
      <c r="F94" s="4"/>
      <c r="G94" s="38"/>
    </row>
    <row r="95" spans="2:7">
      <c r="B95" s="21"/>
      <c r="C95" s="21"/>
      <c r="D95" s="4"/>
      <c r="E95" s="22"/>
      <c r="F95" s="4"/>
      <c r="G95" s="38"/>
    </row>
    <row r="96" spans="2:7">
      <c r="B96" s="21"/>
      <c r="C96" s="21"/>
      <c r="D96" s="4"/>
      <c r="E96" s="22"/>
      <c r="F96" s="4"/>
      <c r="G96" s="38"/>
    </row>
    <row r="97" spans="1:7">
      <c r="B97" s="21"/>
      <c r="C97" s="21"/>
      <c r="D97" s="4"/>
      <c r="E97" s="22"/>
      <c r="F97" s="19"/>
      <c r="G97" s="4"/>
    </row>
    <row r="98" spans="1:7">
      <c r="B98" s="21"/>
      <c r="C98" s="21"/>
      <c r="D98" s="4"/>
      <c r="E98" s="22"/>
      <c r="F98" s="31"/>
      <c r="G98" s="4"/>
    </row>
    <row r="99" spans="1:7" ht="12.75" customHeight="1">
      <c r="B99" s="21"/>
      <c r="C99" s="21"/>
      <c r="D99" s="4"/>
      <c r="E99" s="22"/>
      <c r="F99" s="28"/>
      <c r="G99" s="4"/>
    </row>
    <row r="100" spans="1:7">
      <c r="B100" s="21"/>
      <c r="C100" s="21"/>
      <c r="D100" s="4"/>
      <c r="E100" s="22"/>
      <c r="F100" s="31"/>
      <c r="G100" s="4"/>
    </row>
    <row r="101" spans="1:7">
      <c r="B101" s="21"/>
      <c r="C101" s="21"/>
      <c r="D101" s="4"/>
      <c r="E101" s="22"/>
      <c r="F101" s="31"/>
      <c r="G101" s="4"/>
    </row>
    <row r="102" spans="1:7">
      <c r="B102" s="21"/>
      <c r="C102" s="21"/>
      <c r="D102" s="4"/>
      <c r="E102" s="22"/>
      <c r="F102" s="31"/>
      <c r="G102" s="4"/>
    </row>
    <row r="103" spans="1:7">
      <c r="B103" s="21"/>
      <c r="C103" s="21"/>
      <c r="D103" s="4"/>
      <c r="E103" s="26"/>
      <c r="F103" s="28"/>
      <c r="G103" s="4"/>
    </row>
    <row r="104" spans="1:7">
      <c r="B104" s="21"/>
      <c r="C104" s="21"/>
      <c r="D104" s="4"/>
      <c r="E104" s="22"/>
      <c r="F104" s="31"/>
      <c r="G104" s="4"/>
    </row>
    <row r="105" spans="1:7">
      <c r="B105" s="21"/>
      <c r="C105" s="21"/>
      <c r="D105" s="4"/>
      <c r="E105" s="22"/>
      <c r="F105" s="31"/>
      <c r="G105" s="4"/>
    </row>
    <row r="106" spans="1:7">
      <c r="B106" s="21"/>
      <c r="C106" s="21"/>
      <c r="D106" s="4"/>
      <c r="E106" s="22"/>
      <c r="F106" s="31"/>
      <c r="G106" s="4"/>
    </row>
    <row r="107" spans="1:7">
      <c r="B107" s="21"/>
      <c r="C107" s="21"/>
      <c r="D107" s="4"/>
      <c r="E107" s="26"/>
      <c r="F107" s="4"/>
      <c r="G107" s="38"/>
    </row>
    <row r="108" spans="1:7">
      <c r="B108" s="21"/>
      <c r="C108" s="21"/>
      <c r="D108" s="4"/>
      <c r="E108" s="22"/>
      <c r="F108" s="4"/>
      <c r="G108" s="38"/>
    </row>
    <row r="109" spans="1:7">
      <c r="B109" s="21"/>
      <c r="C109" s="21"/>
      <c r="D109" s="4"/>
      <c r="E109" s="22"/>
      <c r="F109" s="4"/>
      <c r="G109" s="38"/>
    </row>
    <row r="110" spans="1:7">
      <c r="A110" s="15" t="s">
        <v>19</v>
      </c>
      <c r="B110" s="21"/>
      <c r="C110" s="21"/>
      <c r="D110" s="4"/>
      <c r="E110" s="22"/>
      <c r="F110" s="4"/>
      <c r="G110" s="38"/>
    </row>
    <row r="111" spans="1:7">
      <c r="A111" s="15" t="s">
        <v>19</v>
      </c>
      <c r="B111" s="21"/>
      <c r="C111" s="21"/>
      <c r="D111" s="4"/>
      <c r="E111" s="22"/>
      <c r="F111" s="4"/>
      <c r="G111" s="38"/>
    </row>
    <row r="112" spans="1:7">
      <c r="B112" s="21"/>
      <c r="C112" s="21"/>
      <c r="D112" s="27"/>
      <c r="E112" s="29"/>
      <c r="F112" s="27"/>
      <c r="G112" s="38"/>
    </row>
    <row r="113" spans="1:7">
      <c r="A113" s="15" t="s">
        <v>19</v>
      </c>
      <c r="B113" s="21"/>
      <c r="C113" s="21"/>
      <c r="D113" s="4"/>
      <c r="E113" s="22"/>
      <c r="F113" s="4"/>
      <c r="G113" s="38"/>
    </row>
    <row r="114" spans="1:7">
      <c r="B114" s="21"/>
      <c r="C114" s="21"/>
      <c r="D114" s="27"/>
      <c r="E114" s="29"/>
      <c r="F114" s="27"/>
      <c r="G114" s="38"/>
    </row>
    <row r="115" spans="1:7">
      <c r="B115" s="21"/>
      <c r="C115" s="21"/>
      <c r="D115" s="27"/>
      <c r="E115" s="29"/>
      <c r="F115" s="27"/>
      <c r="G115" s="38"/>
    </row>
    <row r="116" spans="1:7">
      <c r="B116" s="21"/>
      <c r="C116" s="21"/>
      <c r="D116" s="4"/>
      <c r="E116" s="26"/>
      <c r="F116" s="4"/>
      <c r="G116" s="38"/>
    </row>
    <row r="117" spans="1:7">
      <c r="A117" s="15" t="s">
        <v>19</v>
      </c>
      <c r="B117" s="21"/>
      <c r="C117" s="21"/>
      <c r="D117" s="4"/>
      <c r="E117" s="22"/>
      <c r="F117" s="28"/>
      <c r="G117" s="4"/>
    </row>
    <row r="118" spans="1:7">
      <c r="A118" s="15" t="s">
        <v>19</v>
      </c>
      <c r="B118" s="21"/>
      <c r="C118" s="21"/>
      <c r="D118" s="4"/>
      <c r="E118" s="22"/>
      <c r="F118" s="28"/>
      <c r="G118" s="4"/>
    </row>
    <row r="119" spans="1:7">
      <c r="B119" s="21"/>
      <c r="C119" s="21"/>
      <c r="D119" s="4"/>
      <c r="E119" s="22"/>
      <c r="F119" s="19"/>
      <c r="G119" s="4"/>
    </row>
    <row r="120" spans="1:7">
      <c r="B120" s="21"/>
      <c r="C120" s="21"/>
      <c r="D120" s="4"/>
      <c r="E120" s="22"/>
      <c r="F120" s="19"/>
      <c r="G120" s="4"/>
    </row>
    <row r="121" spans="1:7">
      <c r="B121" s="21"/>
      <c r="C121" s="21"/>
      <c r="D121" s="4"/>
      <c r="E121" s="22"/>
      <c r="F121" s="19"/>
      <c r="G121" s="4"/>
    </row>
    <row r="122" spans="1:7">
      <c r="B122" s="21"/>
      <c r="C122" s="21"/>
      <c r="D122" s="23"/>
      <c r="E122" s="22"/>
      <c r="F122" s="23"/>
      <c r="G122" s="38"/>
    </row>
    <row r="123" spans="1:7">
      <c r="B123" s="21"/>
      <c r="C123" s="21"/>
      <c r="D123" s="23"/>
      <c r="E123" s="22"/>
      <c r="F123" s="23"/>
      <c r="G123" s="38"/>
    </row>
    <row r="124" spans="1:7">
      <c r="B124" s="21"/>
      <c r="C124" s="21"/>
      <c r="D124" s="39"/>
      <c r="E124" s="22"/>
      <c r="F124" s="32"/>
      <c r="G124" s="4"/>
    </row>
    <row r="125" spans="1:7">
      <c r="A125" s="40" t="s">
        <v>20</v>
      </c>
      <c r="B125" s="21"/>
      <c r="C125" s="21"/>
      <c r="D125" s="4"/>
      <c r="E125" s="22"/>
      <c r="F125" s="28"/>
      <c r="G125" s="4"/>
    </row>
    <row r="126" spans="1:7">
      <c r="A126" s="15" t="s">
        <v>19</v>
      </c>
      <c r="B126" s="21"/>
      <c r="C126" s="21"/>
      <c r="D126" s="4"/>
      <c r="E126" s="22"/>
      <c r="F126" s="28"/>
      <c r="G126" s="4"/>
    </row>
    <row r="127" spans="1:7">
      <c r="A127" s="15" t="s">
        <v>19</v>
      </c>
      <c r="B127" s="21"/>
      <c r="C127" s="21"/>
      <c r="D127" s="4"/>
      <c r="E127" s="22"/>
      <c r="F127" s="28"/>
      <c r="G127" s="4"/>
    </row>
    <row r="128" spans="1:7">
      <c r="A128" s="15" t="s">
        <v>19</v>
      </c>
      <c r="B128" s="21"/>
      <c r="C128" s="21"/>
      <c r="D128" s="4"/>
      <c r="E128" s="22"/>
      <c r="F128" s="28"/>
      <c r="G128" s="4"/>
    </row>
    <row r="129" spans="1:12">
      <c r="A129" s="15" t="s">
        <v>19</v>
      </c>
      <c r="B129" s="21"/>
      <c r="C129" s="21"/>
      <c r="D129" s="4"/>
      <c r="E129" s="22"/>
      <c r="F129" s="28"/>
      <c r="G129" s="4"/>
    </row>
    <row r="130" spans="1:12">
      <c r="A130" s="15" t="s">
        <v>19</v>
      </c>
      <c r="B130" s="21"/>
      <c r="C130" s="21"/>
      <c r="D130" s="4"/>
      <c r="E130" s="22"/>
      <c r="F130" s="28"/>
      <c r="G130" s="4"/>
    </row>
    <row r="131" spans="1:12" ht="12.75" customHeight="1">
      <c r="B131" s="21"/>
      <c r="C131" s="21"/>
      <c r="D131" s="4"/>
      <c r="E131" s="22"/>
      <c r="F131" s="28"/>
      <c r="G131" s="4"/>
    </row>
    <row r="132" spans="1:12">
      <c r="B132" s="21"/>
      <c r="C132" s="21"/>
      <c r="D132" s="4"/>
      <c r="E132" s="22"/>
      <c r="F132" s="28"/>
      <c r="G132" s="4"/>
    </row>
    <row r="133" spans="1:12">
      <c r="A133" s="15" t="s">
        <v>19</v>
      </c>
      <c r="B133" s="21"/>
      <c r="C133" s="21"/>
      <c r="D133" s="4"/>
      <c r="E133" s="22"/>
      <c r="F133" s="28"/>
      <c r="G133" s="4"/>
    </row>
    <row r="134" spans="1:12">
      <c r="B134" s="21"/>
      <c r="C134" s="21"/>
      <c r="D134" s="23"/>
      <c r="E134" s="22"/>
      <c r="F134" s="32"/>
      <c r="G134" s="4"/>
    </row>
    <row r="135" spans="1:12">
      <c r="B135" s="21"/>
      <c r="C135" s="21"/>
      <c r="D135" s="4"/>
      <c r="E135" s="26"/>
      <c r="F135" s="28"/>
      <c r="G135" s="4"/>
    </row>
    <row r="136" spans="1:12">
      <c r="B136" s="21"/>
      <c r="C136" s="21"/>
      <c r="D136" s="4"/>
      <c r="E136" s="26"/>
      <c r="F136" s="28"/>
      <c r="G136" s="4"/>
    </row>
    <row r="137" spans="1:12" s="41" customFormat="1">
      <c r="A137" s="15"/>
      <c r="B137" s="21"/>
      <c r="C137" s="21"/>
      <c r="D137" s="4"/>
      <c r="E137" s="26"/>
      <c r="F137" s="4"/>
      <c r="G137" s="4"/>
      <c r="H137" s="17"/>
      <c r="I137" s="17"/>
      <c r="J137" s="17"/>
      <c r="K137" s="17"/>
      <c r="L137" s="17"/>
    </row>
    <row r="138" spans="1:12">
      <c r="B138" s="21"/>
      <c r="C138" s="21"/>
      <c r="D138" s="4"/>
      <c r="E138" s="26"/>
      <c r="F138" s="4"/>
      <c r="G138" s="4"/>
      <c r="K138" s="41"/>
    </row>
    <row r="139" spans="1:12">
      <c r="B139" s="21"/>
      <c r="C139" s="21"/>
      <c r="D139" s="4"/>
      <c r="E139" s="22"/>
      <c r="F139" s="4"/>
      <c r="G139" s="38"/>
    </row>
    <row r="140" spans="1:12">
      <c r="B140" s="21"/>
      <c r="C140" s="21"/>
      <c r="D140" s="4"/>
      <c r="E140" s="22"/>
      <c r="F140" s="4"/>
      <c r="G140" s="38"/>
    </row>
    <row r="141" spans="1:12">
      <c r="B141" s="21"/>
      <c r="C141" s="21"/>
      <c r="D141" s="4"/>
      <c r="E141" s="22"/>
      <c r="F141" s="4"/>
      <c r="G141" s="38"/>
    </row>
    <row r="142" spans="1:12">
      <c r="A142" s="15" t="s">
        <v>19</v>
      </c>
      <c r="B142" s="21"/>
      <c r="C142" s="21"/>
      <c r="D142" s="4"/>
      <c r="E142" s="22"/>
      <c r="F142" s="4"/>
      <c r="G142" s="38"/>
    </row>
    <row r="143" spans="1:12">
      <c r="A143" s="15" t="s">
        <v>19</v>
      </c>
      <c r="B143" s="21"/>
      <c r="C143" s="21"/>
      <c r="D143" s="4"/>
      <c r="E143" s="22"/>
      <c r="F143" s="4"/>
      <c r="G143" s="38"/>
    </row>
    <row r="144" spans="1:12">
      <c r="A144" s="15" t="s">
        <v>19</v>
      </c>
      <c r="B144" s="21"/>
      <c r="C144" s="21"/>
      <c r="D144" s="19"/>
      <c r="E144" s="22"/>
      <c r="F144" s="4"/>
      <c r="G144" s="38"/>
    </row>
    <row r="145" spans="1:7">
      <c r="A145" s="15" t="s">
        <v>19</v>
      </c>
      <c r="B145" s="21"/>
      <c r="C145" s="21"/>
      <c r="D145" s="4"/>
      <c r="E145" s="22"/>
      <c r="F145" s="4"/>
      <c r="G145" s="38"/>
    </row>
    <row r="146" spans="1:7">
      <c r="A146" s="15" t="s">
        <v>19</v>
      </c>
      <c r="B146" s="21"/>
      <c r="C146" s="21"/>
      <c r="D146" s="23"/>
      <c r="E146" s="22"/>
      <c r="F146" s="23"/>
      <c r="G146" s="38"/>
    </row>
    <row r="147" spans="1:7">
      <c r="A147" s="15" t="s">
        <v>19</v>
      </c>
      <c r="B147" s="21"/>
      <c r="C147" s="21"/>
      <c r="D147" s="23"/>
      <c r="E147" s="22"/>
      <c r="F147" s="23"/>
      <c r="G147" s="38"/>
    </row>
    <row r="148" spans="1:7">
      <c r="A148" s="15" t="s">
        <v>19</v>
      </c>
      <c r="B148" s="21"/>
      <c r="C148" s="21"/>
      <c r="D148" s="4"/>
      <c r="E148" s="22"/>
      <c r="F148" s="4"/>
      <c r="G148" s="38"/>
    </row>
    <row r="149" spans="1:7">
      <c r="B149" s="21"/>
      <c r="C149" s="21"/>
      <c r="D149" s="4"/>
      <c r="E149" s="22"/>
      <c r="F149" s="4"/>
      <c r="G149" s="38"/>
    </row>
    <row r="150" spans="1:7">
      <c r="B150" s="21"/>
      <c r="C150" s="21"/>
      <c r="D150" s="4"/>
      <c r="E150" s="26"/>
      <c r="F150" s="4"/>
      <c r="G150" s="38"/>
    </row>
    <row r="151" spans="1:7">
      <c r="B151" s="21"/>
      <c r="C151" s="21"/>
      <c r="D151" s="4"/>
      <c r="E151" s="26"/>
      <c r="F151" s="4"/>
      <c r="G151" s="38"/>
    </row>
    <row r="152" spans="1:7">
      <c r="B152" s="21"/>
      <c r="C152" s="21"/>
      <c r="D152" s="4"/>
      <c r="E152" s="22"/>
      <c r="F152" s="4"/>
      <c r="G152" s="38"/>
    </row>
    <row r="153" spans="1:7">
      <c r="B153" s="21"/>
      <c r="C153" s="21"/>
      <c r="D153" s="23"/>
      <c r="E153" s="22"/>
      <c r="F153" s="23"/>
      <c r="G153" s="38"/>
    </row>
    <row r="154" spans="1:7">
      <c r="B154" s="21"/>
      <c r="C154" s="21"/>
      <c r="D154" s="23"/>
      <c r="E154" s="22"/>
      <c r="F154" s="23"/>
      <c r="G154" s="38"/>
    </row>
    <row r="155" spans="1:7">
      <c r="B155" s="21"/>
      <c r="C155" s="21"/>
      <c r="D155" s="23"/>
      <c r="E155" s="22"/>
      <c r="F155" s="23"/>
      <c r="G155" s="38"/>
    </row>
    <row r="156" spans="1:7">
      <c r="B156" s="21"/>
      <c r="C156" s="21"/>
      <c r="D156" s="27"/>
      <c r="E156" s="29"/>
      <c r="F156" s="27"/>
      <c r="G156" s="38"/>
    </row>
    <row r="157" spans="1:7">
      <c r="B157" s="21"/>
      <c r="C157" s="21"/>
      <c r="D157" s="27"/>
      <c r="E157" s="29"/>
      <c r="F157" s="27"/>
      <c r="G157" s="38"/>
    </row>
    <row r="158" spans="1:7">
      <c r="B158" s="21"/>
      <c r="C158" s="21"/>
      <c r="D158" s="4"/>
      <c r="E158" s="26"/>
      <c r="F158" s="4"/>
      <c r="G158" s="4"/>
    </row>
    <row r="159" spans="1:7">
      <c r="B159" s="21"/>
      <c r="C159" s="21"/>
      <c r="D159" s="4"/>
      <c r="E159" s="26"/>
      <c r="F159" s="4"/>
      <c r="G159" s="4"/>
    </row>
    <row r="160" spans="1:7">
      <c r="B160" s="21"/>
      <c r="C160" s="21"/>
      <c r="D160" s="4"/>
      <c r="E160" s="22"/>
      <c r="F160" s="4"/>
      <c r="G160" s="38"/>
    </row>
    <row r="161" spans="2:7">
      <c r="B161" s="21"/>
      <c r="C161" s="21"/>
      <c r="D161" s="4"/>
      <c r="E161" s="22"/>
      <c r="F161" s="4"/>
      <c r="G161" s="38"/>
    </row>
    <row r="162" spans="2:7">
      <c r="B162" s="21"/>
      <c r="C162" s="21"/>
      <c r="D162" s="19"/>
      <c r="E162" s="22"/>
      <c r="F162" s="19"/>
      <c r="G162" s="38"/>
    </row>
    <row r="163" spans="2:7">
      <c r="B163" s="21"/>
      <c r="C163" s="21"/>
      <c r="D163" s="19"/>
      <c r="E163" s="22"/>
      <c r="F163" s="19"/>
      <c r="G163" s="44"/>
    </row>
    <row r="164" spans="2:7">
      <c r="B164" s="21"/>
      <c r="C164" s="21"/>
      <c r="D164" s="19"/>
      <c r="E164" s="22"/>
      <c r="F164" s="19"/>
      <c r="G164" s="38"/>
    </row>
    <row r="165" spans="2:7">
      <c r="B165" s="21"/>
      <c r="C165" s="21"/>
      <c r="D165" s="4"/>
      <c r="E165" s="26"/>
      <c r="F165" s="4"/>
      <c r="G165" s="38"/>
    </row>
    <row r="166" spans="2:7">
      <c r="B166" s="21"/>
      <c r="C166" s="21"/>
      <c r="D166" s="4"/>
      <c r="E166" s="26"/>
      <c r="F166" s="4"/>
      <c r="G166" s="38"/>
    </row>
    <row r="167" spans="2:7">
      <c r="B167" s="21"/>
      <c r="C167" s="21"/>
      <c r="D167" s="4"/>
      <c r="E167" s="26"/>
      <c r="F167" s="4"/>
      <c r="G167" s="38"/>
    </row>
    <row r="168" spans="2:7">
      <c r="B168" s="21"/>
      <c r="C168" s="21"/>
      <c r="D168" s="4"/>
      <c r="E168" s="26"/>
      <c r="F168" s="4"/>
      <c r="G168" s="38"/>
    </row>
    <row r="169" spans="2:7">
      <c r="B169" s="21"/>
      <c r="C169" s="21"/>
      <c r="D169" s="4"/>
      <c r="E169" s="26"/>
      <c r="F169" s="4"/>
      <c r="G169" s="38"/>
    </row>
    <row r="170" spans="2:7">
      <c r="B170" s="21"/>
      <c r="C170" s="21"/>
      <c r="D170" s="4"/>
      <c r="E170" s="26"/>
      <c r="F170" s="4"/>
      <c r="G170" s="38"/>
    </row>
    <row r="171" spans="2:7">
      <c r="B171" s="21"/>
      <c r="C171" s="21"/>
      <c r="D171" s="4"/>
      <c r="E171" s="26"/>
      <c r="F171" s="4"/>
      <c r="G171" s="38"/>
    </row>
    <row r="172" spans="2:7">
      <c r="B172" s="21"/>
      <c r="C172" s="21"/>
      <c r="D172" s="4"/>
      <c r="E172" s="26"/>
      <c r="F172" s="4"/>
      <c r="G172" s="38"/>
    </row>
    <row r="173" spans="2:7">
      <c r="B173" s="21"/>
      <c r="C173" s="21"/>
      <c r="D173" s="4"/>
      <c r="E173" s="26"/>
      <c r="F173" s="4"/>
      <c r="G173" s="38"/>
    </row>
    <row r="174" spans="2:7">
      <c r="B174" s="21"/>
      <c r="C174" s="21"/>
      <c r="D174" s="4"/>
      <c r="E174" s="26"/>
      <c r="F174" s="4"/>
      <c r="G174" s="38"/>
    </row>
    <row r="175" spans="2:7">
      <c r="B175" s="21"/>
      <c r="C175" s="21"/>
      <c r="D175" s="4"/>
      <c r="E175" s="26"/>
      <c r="F175" s="4"/>
      <c r="G175" s="38"/>
    </row>
    <row r="176" spans="2:7">
      <c r="B176" s="21"/>
      <c r="C176" s="21"/>
      <c r="D176" s="4"/>
      <c r="E176" s="26"/>
      <c r="F176" s="4"/>
      <c r="G176" s="38"/>
    </row>
    <row r="177" spans="2:12">
      <c r="B177" s="21"/>
      <c r="C177" s="21"/>
      <c r="D177" s="4"/>
      <c r="E177" s="26"/>
      <c r="F177" s="4"/>
      <c r="G177" s="38"/>
    </row>
    <row r="178" spans="2:12">
      <c r="B178" s="21"/>
      <c r="C178" s="21"/>
      <c r="D178" s="4"/>
      <c r="E178" s="26"/>
      <c r="F178" s="4"/>
      <c r="G178" s="38"/>
    </row>
    <row r="179" spans="2:12">
      <c r="B179" s="21"/>
      <c r="C179" s="21"/>
      <c r="D179" s="4"/>
      <c r="E179" s="26"/>
      <c r="F179" s="4"/>
      <c r="G179" s="38"/>
    </row>
    <row r="180" spans="2:12">
      <c r="B180" s="21"/>
      <c r="C180" s="21"/>
      <c r="D180" s="4"/>
      <c r="E180" s="26"/>
      <c r="F180" s="4"/>
      <c r="G180" s="38"/>
    </row>
    <row r="181" spans="2:12">
      <c r="B181" s="21"/>
      <c r="C181" s="21"/>
      <c r="D181" s="4"/>
      <c r="E181" s="26"/>
      <c r="F181" s="4"/>
      <c r="G181" s="38"/>
    </row>
    <row r="182" spans="2:12">
      <c r="B182" s="21"/>
      <c r="C182" s="21"/>
      <c r="D182" s="4"/>
      <c r="E182" s="26"/>
      <c r="F182" s="4"/>
      <c r="G182" s="38"/>
    </row>
    <row r="183" spans="2:12">
      <c r="B183" s="21"/>
      <c r="C183" s="21"/>
      <c r="D183" s="4"/>
      <c r="E183" s="26"/>
      <c r="F183" s="4"/>
      <c r="G183" s="38"/>
    </row>
    <row r="184" spans="2:12">
      <c r="B184" s="21"/>
      <c r="C184" s="21"/>
      <c r="D184" s="4"/>
      <c r="E184" s="26"/>
      <c r="F184" s="4"/>
      <c r="G184" s="38"/>
    </row>
    <row r="185" spans="2:12">
      <c r="B185" s="21"/>
      <c r="C185" s="21"/>
      <c r="D185" s="4"/>
      <c r="E185" s="26"/>
      <c r="F185" s="4"/>
      <c r="G185" s="38"/>
    </row>
    <row r="186" spans="2:12">
      <c r="B186" s="21"/>
      <c r="C186" s="21"/>
      <c r="D186" s="4"/>
      <c r="E186" s="26"/>
      <c r="F186" s="4"/>
      <c r="G186" s="38"/>
    </row>
    <row r="187" spans="2:12">
      <c r="B187" s="21"/>
      <c r="C187" s="21"/>
      <c r="D187" s="4"/>
      <c r="E187" s="26"/>
      <c r="F187" s="4"/>
      <c r="G187" s="38"/>
    </row>
    <row r="188" spans="2:12">
      <c r="B188" s="21"/>
      <c r="C188" s="21"/>
      <c r="D188" s="4"/>
      <c r="E188" s="26"/>
      <c r="F188" s="4"/>
      <c r="G188" s="38"/>
    </row>
    <row r="189" spans="2:12">
      <c r="B189" s="21"/>
      <c r="C189" s="21"/>
      <c r="D189" s="4"/>
      <c r="E189" s="26"/>
      <c r="F189" s="4"/>
      <c r="G189" s="38"/>
    </row>
    <row r="190" spans="2:12">
      <c r="B190" s="21"/>
      <c r="C190" s="21"/>
      <c r="D190" s="4"/>
      <c r="E190" s="22"/>
      <c r="F190" s="4"/>
      <c r="G190" s="38"/>
      <c r="K190" s="41"/>
    </row>
    <row r="191" spans="2:12">
      <c r="B191" s="21"/>
      <c r="C191" s="21"/>
      <c r="D191" s="4"/>
      <c r="E191" s="26"/>
      <c r="F191" s="4"/>
      <c r="G191" s="38"/>
      <c r="L191" s="41"/>
    </row>
    <row r="192" spans="2:12">
      <c r="B192" s="21"/>
      <c r="C192" s="21"/>
      <c r="D192" s="4"/>
      <c r="E192" s="26"/>
      <c r="F192" s="4"/>
      <c r="G192" s="38"/>
    </row>
    <row r="193" spans="1:12">
      <c r="B193" s="21"/>
      <c r="C193" s="21"/>
      <c r="D193" s="4"/>
      <c r="E193" s="26"/>
      <c r="F193" s="4"/>
      <c r="G193" s="38"/>
    </row>
    <row r="194" spans="1:12" s="41" customFormat="1">
      <c r="A194" s="15"/>
      <c r="B194" s="21"/>
      <c r="C194" s="21"/>
      <c r="D194" s="4"/>
      <c r="E194" s="26"/>
      <c r="F194" s="4"/>
      <c r="G194" s="38"/>
      <c r="H194" s="17"/>
      <c r="I194" s="17"/>
      <c r="J194" s="17"/>
      <c r="K194" s="17"/>
      <c r="L194" s="17"/>
    </row>
    <row r="195" spans="1:12">
      <c r="B195" s="21"/>
      <c r="C195" s="21"/>
      <c r="D195" s="4"/>
      <c r="E195" s="26"/>
      <c r="F195" s="4"/>
      <c r="G195" s="38"/>
    </row>
    <row r="196" spans="1:12">
      <c r="B196" s="21"/>
      <c r="C196" s="21"/>
      <c r="D196" s="4"/>
      <c r="E196" s="26"/>
      <c r="F196" s="4"/>
      <c r="G196" s="38"/>
    </row>
    <row r="197" spans="1:12">
      <c r="B197" s="21"/>
      <c r="C197" s="21"/>
      <c r="D197" s="4"/>
      <c r="E197" s="26"/>
      <c r="F197" s="4"/>
      <c r="G197" s="38"/>
    </row>
    <row r="198" spans="1:12">
      <c r="B198" s="21"/>
      <c r="C198" s="21"/>
      <c r="D198" s="4"/>
      <c r="E198" s="26"/>
      <c r="F198" s="4"/>
      <c r="G198" s="38"/>
    </row>
    <row r="199" spans="1:12">
      <c r="B199" s="21"/>
      <c r="C199" s="21"/>
      <c r="D199" s="4"/>
      <c r="E199" s="26"/>
      <c r="F199" s="4"/>
      <c r="G199" s="38"/>
    </row>
    <row r="200" spans="1:12">
      <c r="B200" s="21"/>
      <c r="C200" s="21"/>
      <c r="D200" s="4"/>
      <c r="E200" s="26"/>
      <c r="F200" s="4"/>
      <c r="G200" s="38"/>
    </row>
    <row r="201" spans="1:12">
      <c r="B201" s="21"/>
      <c r="C201" s="21"/>
      <c r="D201" s="27"/>
      <c r="E201" s="42"/>
      <c r="F201" s="27"/>
      <c r="G201" s="45"/>
    </row>
    <row r="202" spans="1:12">
      <c r="B202" s="21"/>
      <c r="C202" s="21"/>
      <c r="D202" s="27"/>
      <c r="E202" s="42"/>
      <c r="F202" s="27"/>
      <c r="G202" s="45"/>
    </row>
    <row r="203" spans="1:12">
      <c r="B203" s="21"/>
      <c r="C203" s="21"/>
      <c r="D203" s="4"/>
      <c r="E203" s="26"/>
      <c r="F203" s="4"/>
      <c r="G203" s="38"/>
    </row>
    <row r="204" spans="1:12">
      <c r="B204" s="21"/>
      <c r="C204" s="21"/>
      <c r="D204" s="4"/>
      <c r="E204" s="26"/>
      <c r="F204" s="4"/>
      <c r="G204" s="38"/>
    </row>
    <row r="205" spans="1:12">
      <c r="B205" s="21"/>
      <c r="C205" s="21"/>
      <c r="D205" s="4"/>
      <c r="E205" s="26"/>
      <c r="F205" s="4"/>
      <c r="G205" s="38"/>
    </row>
    <row r="206" spans="1:12">
      <c r="B206" s="21"/>
      <c r="C206" s="21"/>
      <c r="D206" s="4"/>
      <c r="E206" s="26"/>
      <c r="F206" s="4"/>
      <c r="G206" s="38"/>
    </row>
    <row r="207" spans="1:12">
      <c r="B207" s="21"/>
      <c r="C207" s="21"/>
      <c r="D207" s="18"/>
      <c r="E207" s="26"/>
      <c r="F207" s="4"/>
      <c r="G207" s="24"/>
    </row>
    <row r="208" spans="1:12">
      <c r="B208" s="21"/>
      <c r="C208" s="21"/>
      <c r="D208" s="23"/>
      <c r="E208" s="22"/>
      <c r="F208" s="23"/>
      <c r="G208" s="38"/>
    </row>
    <row r="209" spans="2:7">
      <c r="B209" s="21"/>
      <c r="C209" s="21"/>
      <c r="D209" s="16"/>
      <c r="E209" s="22"/>
      <c r="F209" s="19"/>
      <c r="G209" s="38"/>
    </row>
    <row r="210" spans="2:7">
      <c r="B210" s="21"/>
      <c r="C210" s="21"/>
      <c r="D210" s="4"/>
      <c r="E210" s="22"/>
      <c r="F210" s="4"/>
      <c r="G210" s="38"/>
    </row>
    <row r="211" spans="2:7">
      <c r="B211" s="21"/>
      <c r="C211" s="21"/>
      <c r="D211" s="23"/>
      <c r="E211" s="22"/>
      <c r="F211" s="23"/>
      <c r="G211" s="38"/>
    </row>
    <row r="212" spans="2:7">
      <c r="B212" s="21"/>
      <c r="C212" s="21"/>
      <c r="D212" s="23"/>
      <c r="E212" s="22"/>
      <c r="F212" s="23"/>
      <c r="G212" s="38"/>
    </row>
    <row r="213" spans="2:7">
      <c r="B213" s="21"/>
      <c r="C213" s="21"/>
      <c r="D213" s="4"/>
      <c r="E213" s="22"/>
      <c r="F213" s="4"/>
      <c r="G213" s="38"/>
    </row>
    <row r="214" spans="2:7">
      <c r="B214" s="21"/>
      <c r="C214" s="21"/>
      <c r="D214" s="4"/>
      <c r="E214" s="22"/>
      <c r="F214" s="4"/>
      <c r="G214" s="38"/>
    </row>
    <row r="215" spans="2:7">
      <c r="B215" s="21"/>
      <c r="C215" s="21"/>
      <c r="D215" s="4"/>
      <c r="E215" s="22"/>
      <c r="F215" s="4"/>
      <c r="G215" s="38"/>
    </row>
    <row r="216" spans="2:7">
      <c r="B216" s="21"/>
      <c r="C216" s="21"/>
      <c r="D216" s="4"/>
      <c r="E216" s="22"/>
      <c r="F216" s="4"/>
      <c r="G216" s="38"/>
    </row>
    <row r="217" spans="2:7">
      <c r="B217" s="21"/>
      <c r="C217" s="21"/>
      <c r="D217" s="4"/>
      <c r="E217" s="22"/>
      <c r="F217" s="4"/>
      <c r="G217" s="38"/>
    </row>
    <row r="218" spans="2:7">
      <c r="B218" s="21"/>
      <c r="C218" s="21"/>
      <c r="D218" s="4"/>
      <c r="E218" s="26"/>
      <c r="F218" s="4"/>
      <c r="G218" s="38"/>
    </row>
    <row r="219" spans="2:7">
      <c r="B219" s="21"/>
      <c r="C219" s="21"/>
      <c r="D219" s="4"/>
      <c r="E219" s="26"/>
      <c r="F219" s="4"/>
      <c r="G219" s="38"/>
    </row>
    <row r="220" spans="2:7">
      <c r="B220" s="21"/>
      <c r="C220" s="21"/>
      <c r="D220" s="4"/>
      <c r="E220" s="26"/>
      <c r="F220" s="4"/>
      <c r="G220" s="4"/>
    </row>
    <row r="221" spans="2:7">
      <c r="B221" s="21"/>
      <c r="C221" s="21"/>
      <c r="D221" s="4"/>
      <c r="E221" s="26"/>
      <c r="F221" s="4"/>
      <c r="G221" s="4"/>
    </row>
    <row r="222" spans="2:7">
      <c r="B222" s="21"/>
      <c r="C222" s="21"/>
      <c r="D222" s="18"/>
      <c r="E222" s="43"/>
      <c r="F222" s="18"/>
      <c r="G222" s="4"/>
    </row>
    <row r="223" spans="2:7">
      <c r="B223" s="21"/>
      <c r="C223" s="21"/>
      <c r="D223" s="4"/>
      <c r="E223" s="22"/>
      <c r="F223" s="28"/>
      <c r="G223" s="4"/>
    </row>
    <row r="224" spans="2:7">
      <c r="B224" s="21"/>
      <c r="C224" s="21"/>
      <c r="D224" s="4"/>
      <c r="E224" s="22"/>
      <c r="F224" s="28"/>
      <c r="G224" s="4"/>
    </row>
    <row r="225" spans="1:7">
      <c r="B225" s="21"/>
      <c r="C225" s="21"/>
      <c r="D225" s="4"/>
      <c r="E225" s="22"/>
      <c r="F225" s="28"/>
      <c r="G225" s="4"/>
    </row>
    <row r="226" spans="1:7">
      <c r="B226" s="21"/>
      <c r="C226" s="21"/>
      <c r="D226" s="4"/>
      <c r="E226" s="22"/>
      <c r="F226" s="28"/>
      <c r="G226" s="4"/>
    </row>
    <row r="227" spans="1:7">
      <c r="B227" s="21"/>
      <c r="C227" s="21"/>
      <c r="D227" s="4"/>
      <c r="E227" s="22"/>
      <c r="F227" s="28"/>
      <c r="G227" s="4"/>
    </row>
    <row r="228" spans="1:7">
      <c r="B228" s="21"/>
      <c r="C228" s="21"/>
      <c r="D228" s="4"/>
      <c r="E228" s="22"/>
      <c r="F228" s="28"/>
      <c r="G228" s="4"/>
    </row>
    <row r="229" spans="1:7">
      <c r="B229" s="21"/>
      <c r="C229" s="21"/>
      <c r="D229" s="4"/>
      <c r="E229" s="26"/>
      <c r="F229" s="28"/>
      <c r="G229" s="4"/>
    </row>
    <row r="230" spans="1:7">
      <c r="B230" s="21"/>
      <c r="C230" s="21"/>
      <c r="D230" s="4"/>
      <c r="E230" s="26"/>
      <c r="F230" s="4"/>
      <c r="G230" s="38"/>
    </row>
    <row r="231" spans="1:7">
      <c r="B231" s="21"/>
      <c r="C231" s="21"/>
      <c r="D231" s="4"/>
      <c r="E231" s="26"/>
      <c r="F231" s="4"/>
      <c r="G231" s="38"/>
    </row>
    <row r="232" spans="1:7">
      <c r="A232" s="15" t="s">
        <v>19</v>
      </c>
      <c r="B232" s="21"/>
      <c r="C232" s="21"/>
      <c r="D232" s="4"/>
      <c r="E232" s="22"/>
      <c r="F232" s="4"/>
      <c r="G232" s="38"/>
    </row>
    <row r="233" spans="1:7">
      <c r="A233" s="15" t="s">
        <v>19</v>
      </c>
      <c r="B233" s="21"/>
      <c r="C233" s="21"/>
      <c r="D233" s="4"/>
      <c r="E233" s="22"/>
      <c r="F233" s="4"/>
      <c r="G233" s="38"/>
    </row>
    <row r="234" spans="1:7">
      <c r="B234" s="21"/>
      <c r="C234" s="21"/>
      <c r="D234" s="4"/>
      <c r="E234" s="26"/>
      <c r="F234" s="4"/>
      <c r="G234" s="38"/>
    </row>
    <row r="235" spans="1:7">
      <c r="A235" s="15" t="s">
        <v>19</v>
      </c>
      <c r="B235" s="21"/>
      <c r="C235" s="21"/>
      <c r="D235" s="23"/>
      <c r="E235" s="22"/>
      <c r="F235" s="32"/>
      <c r="G235" s="4"/>
    </row>
    <row r="236" spans="1:7">
      <c r="A236" s="15" t="s">
        <v>19</v>
      </c>
      <c r="B236" s="21"/>
      <c r="C236" s="21"/>
      <c r="D236" s="4"/>
      <c r="E236" s="22"/>
      <c r="F236" s="28"/>
      <c r="G236" s="4"/>
    </row>
    <row r="237" spans="1:7">
      <c r="B237" s="21"/>
      <c r="C237" s="21"/>
      <c r="D237" s="4"/>
      <c r="E237" s="22"/>
      <c r="F237" s="28"/>
      <c r="G237" s="4"/>
    </row>
    <row r="238" spans="1:7">
      <c r="B238" s="21"/>
      <c r="C238" s="21"/>
      <c r="D238" s="4"/>
      <c r="E238" s="22"/>
      <c r="F238" s="28"/>
      <c r="G238" s="4"/>
    </row>
    <row r="239" spans="1:7">
      <c r="B239" s="21"/>
      <c r="C239" s="21"/>
      <c r="D239" s="4"/>
      <c r="E239" s="22"/>
      <c r="F239" s="28"/>
      <c r="G239" s="4"/>
    </row>
    <row r="240" spans="1:7">
      <c r="B240" s="21"/>
      <c r="C240" s="21"/>
      <c r="D240" s="18"/>
      <c r="E240" s="22"/>
      <c r="F240" s="28"/>
      <c r="G240" s="4"/>
    </row>
    <row r="241" spans="1:7">
      <c r="B241" s="21"/>
      <c r="C241" s="21"/>
      <c r="D241" s="23"/>
      <c r="E241" s="22"/>
      <c r="F241" s="32"/>
      <c r="G241" s="4"/>
    </row>
    <row r="242" spans="1:7">
      <c r="A242" s="15" t="s">
        <v>19</v>
      </c>
      <c r="B242" s="21"/>
      <c r="C242" s="21"/>
      <c r="D242" s="4"/>
      <c r="E242" s="22"/>
      <c r="F242" s="28"/>
      <c r="G242" s="4"/>
    </row>
    <row r="243" spans="1:7">
      <c r="B243" s="21"/>
      <c r="C243" s="21"/>
      <c r="D243" s="4"/>
      <c r="E243" s="22"/>
      <c r="F243" s="4"/>
      <c r="G243" s="4"/>
    </row>
    <row r="244" spans="1:7">
      <c r="A244" s="15" t="s">
        <v>19</v>
      </c>
      <c r="B244" s="21"/>
      <c r="C244" s="21"/>
      <c r="D244" s="4"/>
      <c r="E244" s="22"/>
      <c r="F244" s="28"/>
      <c r="G244" s="4"/>
    </row>
    <row r="245" spans="1:7">
      <c r="A245" s="15" t="s">
        <v>19</v>
      </c>
      <c r="B245" s="21"/>
      <c r="C245" s="21"/>
      <c r="D245" s="4"/>
      <c r="E245" s="22"/>
      <c r="F245" s="4"/>
      <c r="G245" s="4"/>
    </row>
    <row r="246" spans="1:7">
      <c r="A246" s="15" t="s">
        <v>19</v>
      </c>
      <c r="B246" s="21"/>
      <c r="C246" s="21"/>
      <c r="D246" s="4"/>
      <c r="E246" s="22"/>
      <c r="F246" s="4"/>
      <c r="G246" s="4"/>
    </row>
    <row r="247" spans="1:7">
      <c r="A247" s="15" t="s">
        <v>19</v>
      </c>
      <c r="B247" s="21"/>
      <c r="C247" s="21"/>
      <c r="D247" s="4"/>
      <c r="E247" s="22"/>
      <c r="F247" s="4"/>
      <c r="G247" s="4"/>
    </row>
    <row r="248" spans="1:7">
      <c r="A248" s="15" t="s">
        <v>19</v>
      </c>
      <c r="B248" s="21"/>
      <c r="C248" s="21"/>
      <c r="D248" s="4"/>
      <c r="E248" s="22"/>
      <c r="F248" s="4"/>
      <c r="G248" s="4"/>
    </row>
    <row r="249" spans="1:7">
      <c r="A249" s="15" t="s">
        <v>19</v>
      </c>
      <c r="B249" s="21"/>
      <c r="C249" s="21"/>
      <c r="D249" s="4"/>
      <c r="E249" s="22"/>
      <c r="F249" s="4"/>
      <c r="G249" s="4"/>
    </row>
    <row r="250" spans="1:7" ht="12.75" customHeight="1">
      <c r="B250" s="21"/>
      <c r="C250" s="21"/>
      <c r="D250" s="4"/>
      <c r="E250" s="22"/>
      <c r="F250" s="4"/>
      <c r="G250" s="4"/>
    </row>
    <row r="251" spans="1:7">
      <c r="B251" s="21"/>
      <c r="C251" s="21"/>
      <c r="D251" s="4"/>
      <c r="E251" s="22"/>
      <c r="F251" s="4"/>
      <c r="G251" s="4"/>
    </row>
    <row r="252" spans="1:7">
      <c r="A252" s="15" t="s">
        <v>19</v>
      </c>
      <c r="B252" s="21"/>
      <c r="C252" s="21"/>
      <c r="D252" s="4"/>
      <c r="E252" s="22"/>
      <c r="F252" s="4"/>
      <c r="G252" s="4"/>
    </row>
    <row r="253" spans="1:7">
      <c r="A253" s="15" t="s">
        <v>19</v>
      </c>
      <c r="B253" s="21"/>
      <c r="C253" s="21"/>
      <c r="D253" s="4"/>
      <c r="E253" s="22"/>
      <c r="F253" s="4"/>
      <c r="G253" s="4"/>
    </row>
    <row r="254" spans="1:7">
      <c r="B254" s="21"/>
      <c r="C254" s="21"/>
      <c r="D254" s="4"/>
      <c r="E254" s="26"/>
      <c r="F254" s="4"/>
      <c r="G254" s="4"/>
    </row>
    <row r="255" spans="1:7">
      <c r="A255" s="15" t="s">
        <v>19</v>
      </c>
      <c r="B255" s="21"/>
      <c r="C255" s="21"/>
      <c r="D255" s="4"/>
      <c r="E255" s="22"/>
      <c r="F255" s="4"/>
      <c r="G255" s="4"/>
    </row>
    <row r="256" spans="1:7">
      <c r="A256" s="15" t="s">
        <v>19</v>
      </c>
      <c r="B256" s="21"/>
      <c r="C256" s="21"/>
      <c r="D256" s="27"/>
      <c r="E256" s="29"/>
      <c r="F256" s="27"/>
      <c r="G256" s="4"/>
    </row>
    <row r="257" spans="1:7">
      <c r="A257" s="15" t="s">
        <v>19</v>
      </c>
      <c r="B257" s="21"/>
      <c r="C257" s="21"/>
      <c r="D257" s="4"/>
      <c r="E257" s="22"/>
      <c r="F257" s="4"/>
      <c r="G257" s="4"/>
    </row>
    <row r="258" spans="1:7">
      <c r="A258" s="15" t="s">
        <v>19</v>
      </c>
      <c r="B258" s="21"/>
      <c r="C258" s="21"/>
      <c r="D258" s="4"/>
      <c r="E258" s="22"/>
      <c r="F258" s="4"/>
      <c r="G258" s="4"/>
    </row>
    <row r="259" spans="1:7">
      <c r="A259" s="15" t="s">
        <v>19</v>
      </c>
      <c r="B259" s="21"/>
      <c r="C259" s="21"/>
      <c r="D259" s="4"/>
      <c r="E259" s="22"/>
      <c r="F259" s="4"/>
      <c r="G259" s="4"/>
    </row>
    <row r="260" spans="1:7">
      <c r="B260" s="21"/>
      <c r="C260" s="21"/>
      <c r="D260" s="4"/>
      <c r="E260" s="22"/>
      <c r="F260" s="4"/>
      <c r="G260" s="4"/>
    </row>
    <row r="261" spans="1:7">
      <c r="B261" s="21"/>
      <c r="C261" s="21"/>
      <c r="D261" s="4"/>
      <c r="E261" s="22"/>
      <c r="F261" s="4"/>
      <c r="G261" s="4"/>
    </row>
    <row r="262" spans="1:7">
      <c r="B262" s="21"/>
      <c r="C262" s="21"/>
      <c r="D262" s="4"/>
      <c r="E262" s="22"/>
      <c r="F262" s="4"/>
      <c r="G262" s="4"/>
    </row>
    <row r="263" spans="1:7">
      <c r="B263" s="21"/>
      <c r="C263" s="21"/>
      <c r="D263" s="4"/>
      <c r="E263" s="22"/>
      <c r="F263" s="4"/>
      <c r="G263" s="4"/>
    </row>
    <row r="264" spans="1:7">
      <c r="B264" s="21"/>
      <c r="C264" s="21"/>
      <c r="D264" s="19"/>
      <c r="E264" s="22"/>
      <c r="F264" s="4"/>
      <c r="G264" s="4"/>
    </row>
    <row r="265" spans="1:7">
      <c r="B265" s="21"/>
      <c r="C265" s="21"/>
      <c r="D265" s="4"/>
      <c r="E265" s="26"/>
      <c r="F265" s="4"/>
      <c r="G265" s="4"/>
    </row>
    <row r="266" spans="1:7">
      <c r="B266" s="21"/>
      <c r="C266" s="21"/>
      <c r="D266" s="4"/>
      <c r="E266" s="26"/>
      <c r="F266" s="4"/>
      <c r="G266" s="4"/>
    </row>
    <row r="267" spans="1:7">
      <c r="B267" s="21"/>
      <c r="C267" s="21"/>
      <c r="D267" s="4"/>
      <c r="E267" s="26"/>
      <c r="F267" s="4"/>
      <c r="G267" s="4"/>
    </row>
    <row r="268" spans="1:7">
      <c r="B268" s="21"/>
      <c r="C268" s="21"/>
      <c r="D268" s="4"/>
      <c r="E268" s="26"/>
      <c r="F268" s="4"/>
      <c r="G268" s="4"/>
    </row>
    <row r="269" spans="1:7">
      <c r="B269" s="21"/>
      <c r="C269" s="21"/>
      <c r="D269" s="19"/>
      <c r="E269" s="22"/>
      <c r="F269" s="19"/>
      <c r="G269" s="38"/>
    </row>
    <row r="270" spans="1:7">
      <c r="B270" s="21"/>
      <c r="C270" s="21"/>
      <c r="D270" s="19"/>
      <c r="E270" s="22"/>
      <c r="F270" s="19"/>
      <c r="G270" s="38"/>
    </row>
    <row r="271" spans="1:7">
      <c r="B271" s="21"/>
      <c r="C271" s="21"/>
      <c r="D271" s="4"/>
      <c r="E271" s="26"/>
      <c r="F271" s="4"/>
      <c r="G271" s="38"/>
    </row>
    <row r="272" spans="1:7">
      <c r="B272" s="21"/>
      <c r="C272" s="21"/>
      <c r="D272" s="4"/>
      <c r="E272" s="26"/>
      <c r="F272" s="4"/>
      <c r="G272" s="38"/>
    </row>
    <row r="273" spans="1:7">
      <c r="B273" s="21"/>
      <c r="C273" s="21"/>
      <c r="D273" s="4"/>
      <c r="E273" s="26"/>
      <c r="F273" s="4"/>
      <c r="G273" s="38"/>
    </row>
    <row r="274" spans="1:7">
      <c r="B274" s="21"/>
      <c r="C274" s="21"/>
      <c r="D274" s="4"/>
      <c r="E274" s="26"/>
      <c r="F274" s="4"/>
      <c r="G274" s="38"/>
    </row>
    <row r="275" spans="1:7">
      <c r="B275" s="21"/>
      <c r="C275" s="21"/>
      <c r="D275" s="4"/>
      <c r="E275" s="26"/>
      <c r="F275" s="4"/>
      <c r="G275" s="38"/>
    </row>
    <row r="276" spans="1:7">
      <c r="A276" s="40" t="s">
        <v>19</v>
      </c>
      <c r="B276" s="21"/>
      <c r="C276" s="21"/>
      <c r="D276" s="4"/>
      <c r="E276" s="22"/>
      <c r="F276" s="4"/>
      <c r="G276" s="38"/>
    </row>
    <row r="277" spans="1:7">
      <c r="A277" s="15" t="s">
        <v>19</v>
      </c>
      <c r="B277" s="21"/>
      <c r="C277" s="21"/>
      <c r="D277" s="4"/>
      <c r="E277" s="22"/>
      <c r="F277" s="4"/>
      <c r="G277" s="38"/>
    </row>
    <row r="278" spans="1:7">
      <c r="A278" s="15" t="s">
        <v>19</v>
      </c>
      <c r="B278" s="21"/>
      <c r="C278" s="21"/>
      <c r="D278" s="4"/>
      <c r="E278" s="22"/>
      <c r="F278" s="4"/>
      <c r="G278" s="38"/>
    </row>
    <row r="279" spans="1:7">
      <c r="B279" s="21"/>
      <c r="C279" s="21"/>
      <c r="D279" s="4"/>
      <c r="E279" s="26"/>
      <c r="F279" s="4"/>
      <c r="G279" s="38"/>
    </row>
    <row r="280" spans="1:7">
      <c r="B280" s="21"/>
      <c r="C280" s="21"/>
      <c r="D280" s="4"/>
      <c r="E280" s="26"/>
      <c r="F280" s="4"/>
      <c r="G280" s="38"/>
    </row>
    <row r="281" spans="1:7">
      <c r="B281" s="21"/>
      <c r="C281" s="21"/>
      <c r="D281" s="4"/>
      <c r="E281" s="26"/>
      <c r="F281" s="4"/>
      <c r="G281" s="38"/>
    </row>
    <row r="282" spans="1:7">
      <c r="B282" s="21"/>
      <c r="C282" s="21"/>
      <c r="D282" s="4"/>
      <c r="E282" s="26"/>
      <c r="F282" s="4"/>
      <c r="G282" s="38"/>
    </row>
    <row r="283" spans="1:7">
      <c r="B283" s="21"/>
      <c r="C283" s="21"/>
      <c r="D283" s="4"/>
      <c r="E283" s="26"/>
      <c r="F283" s="4"/>
      <c r="G283" s="38"/>
    </row>
    <row r="284" spans="1:7">
      <c r="B284" s="21"/>
      <c r="C284" s="21"/>
      <c r="D284" s="4"/>
      <c r="E284" s="26"/>
      <c r="F284" s="4"/>
      <c r="G284" s="38"/>
    </row>
    <row r="285" spans="1:7">
      <c r="B285" s="21"/>
      <c r="C285" s="21"/>
      <c r="D285" s="4"/>
      <c r="E285" s="26"/>
      <c r="F285" s="4"/>
      <c r="G285" s="38"/>
    </row>
    <row r="286" spans="1:7">
      <c r="B286" s="21"/>
      <c r="C286" s="21"/>
      <c r="D286" s="4"/>
      <c r="E286" s="26"/>
      <c r="F286" s="4"/>
      <c r="G286" s="38"/>
    </row>
    <row r="287" spans="1:7">
      <c r="B287" s="21"/>
      <c r="C287" s="21"/>
      <c r="D287" s="4"/>
      <c r="E287" s="26"/>
      <c r="F287" s="4"/>
      <c r="G287" s="38"/>
    </row>
    <row r="288" spans="1:7">
      <c r="B288" s="21"/>
      <c r="C288" s="21"/>
      <c r="D288" s="4"/>
      <c r="E288" s="26"/>
      <c r="F288" s="4"/>
      <c r="G288" s="38"/>
    </row>
    <row r="289" spans="2:7">
      <c r="B289" s="21"/>
      <c r="C289" s="21"/>
      <c r="D289" s="4"/>
      <c r="E289" s="26"/>
      <c r="F289" s="4"/>
      <c r="G289" s="38"/>
    </row>
    <row r="290" spans="2:7">
      <c r="B290" s="21"/>
      <c r="C290" s="21"/>
      <c r="D290" s="4"/>
      <c r="E290" s="26"/>
      <c r="F290" s="4"/>
      <c r="G290" s="38"/>
    </row>
    <row r="291" spans="2:7">
      <c r="B291" s="21"/>
      <c r="C291" s="21"/>
      <c r="D291" s="4"/>
      <c r="E291" s="26"/>
      <c r="F291" s="4"/>
      <c r="G291" s="38"/>
    </row>
    <row r="292" spans="2:7">
      <c r="B292" s="21"/>
      <c r="C292" s="21"/>
      <c r="D292" s="4"/>
      <c r="E292" s="26"/>
      <c r="F292" s="4"/>
      <c r="G292" s="38"/>
    </row>
    <row r="293" spans="2:7">
      <c r="B293" s="21"/>
      <c r="C293" s="21"/>
      <c r="D293" s="4"/>
      <c r="E293" s="26"/>
      <c r="F293" s="4"/>
      <c r="G293" s="38"/>
    </row>
    <row r="294" spans="2:7">
      <c r="B294" s="21"/>
      <c r="C294" s="21"/>
      <c r="D294" s="4"/>
      <c r="E294" s="26"/>
      <c r="F294" s="4"/>
      <c r="G294" s="4"/>
    </row>
    <row r="295" spans="2:7">
      <c r="B295" s="21"/>
      <c r="C295" s="21"/>
      <c r="D295" s="4"/>
      <c r="E295" s="26"/>
      <c r="F295" s="4"/>
      <c r="G295" s="4"/>
    </row>
    <row r="296" spans="2:7">
      <c r="B296" s="21"/>
      <c r="C296" s="21"/>
      <c r="D296" s="4"/>
      <c r="E296" s="26"/>
      <c r="F296" s="4"/>
      <c r="G296" s="4"/>
    </row>
    <row r="297" spans="2:7">
      <c r="B297" s="21" t="str">
        <f t="shared" ref="B297:B299" si="0">IF(COUNTA(C297)&gt;0,ROW(C297)-3,"")</f>
        <v/>
      </c>
      <c r="C297" s="21"/>
      <c r="D297" s="4"/>
      <c r="E297" s="26"/>
      <c r="F297" s="4"/>
      <c r="G297" s="4"/>
    </row>
    <row r="298" spans="2:7">
      <c r="B298" s="21" t="str">
        <f t="shared" si="0"/>
        <v/>
      </c>
      <c r="C298" s="21"/>
      <c r="D298" s="4"/>
      <c r="E298" s="26"/>
      <c r="F298" s="4"/>
      <c r="G298" s="4"/>
    </row>
    <row r="299" spans="2:7">
      <c r="B299" s="21" t="str">
        <f t="shared" si="0"/>
        <v/>
      </c>
      <c r="C299" s="21"/>
      <c r="D299" s="4"/>
      <c r="E299" s="26"/>
      <c r="F299" s="4"/>
      <c r="G299" s="4"/>
    </row>
  </sheetData>
  <sortState ref="A4:H299">
    <sortCondition ref="C4:C299"/>
  </sortState>
  <mergeCells count="1">
    <mergeCell ref="B2:G2"/>
  </mergeCells>
  <phoneticPr fontId="1" type="noConversion"/>
  <hyperlinks>
    <hyperlink ref="A1" location="备忘录!A1" display="备忘录"/>
  </hyperlink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057" r:id="rId4" name="btnType">
          <controlPr defaultSize="0" autoLine="0" r:id="rId5">
            <anchor moveWithCells="1">
              <from>
                <xdr:col>8</xdr:col>
                <xdr:colOff>9525</xdr:colOff>
                <xdr:row>1</xdr:row>
                <xdr:rowOff>28575</xdr:rowOff>
              </from>
              <to>
                <xdr:col>8</xdr:col>
                <xdr:colOff>762000</xdr:colOff>
                <xdr:row>1</xdr:row>
                <xdr:rowOff>266700</xdr:rowOff>
              </to>
            </anchor>
          </controlPr>
        </control>
      </mc:Choice>
      <mc:Fallback>
        <control shapeId="2057" r:id="rId4" name="btnType"/>
      </mc:Fallback>
    </mc:AlternateContent>
    <mc:AlternateContent xmlns:mc="http://schemas.openxmlformats.org/markup-compatibility/2006">
      <mc:Choice Requires="x14">
        <control shapeId="2050" r:id="rId6" name="TextBox1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66675</xdr:rowOff>
              </from>
              <to>
                <xdr:col>11</xdr:col>
                <xdr:colOff>466725</xdr:colOff>
                <xdr:row>2</xdr:row>
                <xdr:rowOff>19050</xdr:rowOff>
              </to>
            </anchor>
          </controlPr>
        </control>
      </mc:Choice>
      <mc:Fallback>
        <control shapeId="2050" r:id="rId6" name="TextBox1"/>
      </mc:Fallback>
    </mc:AlternateContent>
    <mc:AlternateContent xmlns:mc="http://schemas.openxmlformats.org/markup-compatibility/2006">
      <mc:Choice Requires="x14">
        <control shapeId="2051" r:id="rId8" name="Label1">
          <controlPr autoLine="0" r:id="rId9">
            <anchor moveWithCells="1">
              <from>
                <xdr:col>9</xdr:col>
                <xdr:colOff>123825</xdr:colOff>
                <xdr:row>1</xdr:row>
                <xdr:rowOff>114300</xdr:rowOff>
              </from>
              <to>
                <xdr:col>9</xdr:col>
                <xdr:colOff>561975</xdr:colOff>
                <xdr:row>1</xdr:row>
                <xdr:rowOff>257175</xdr:rowOff>
              </to>
            </anchor>
          </controlPr>
        </control>
      </mc:Choice>
      <mc:Fallback>
        <control shapeId="2051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4"/>
  <sheetViews>
    <sheetView workbookViewId="0">
      <selection activeCell="C35" sqref="C35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24</v>
      </c>
      <c r="C3" s="8"/>
      <c r="D3" s="9" t="s">
        <v>25</v>
      </c>
      <c r="E3" s="8"/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 t="str">
        <f t="shared" ref="B6:B44" si="0">IF(COUNTA(C6)&gt;0,ROW(C6)-4,"")</f>
        <v/>
      </c>
      <c r="C6" s="25"/>
      <c r="D6" s="25"/>
      <c r="E6" s="12"/>
      <c r="F6" s="13"/>
    </row>
    <row r="7" spans="1:6">
      <c r="B7" s="34" t="str">
        <f t="shared" si="0"/>
        <v/>
      </c>
      <c r="C7" s="25"/>
      <c r="D7" s="25"/>
      <c r="E7" s="12"/>
      <c r="F7" s="13"/>
    </row>
    <row r="8" spans="1:6">
      <c r="B8" s="34" t="str">
        <f t="shared" si="0"/>
        <v/>
      </c>
      <c r="C8" s="25"/>
      <c r="D8" s="25"/>
      <c r="E8" s="12"/>
      <c r="F8" s="13"/>
    </row>
    <row r="9" spans="1:6">
      <c r="B9" s="34" t="str">
        <f t="shared" si="0"/>
        <v/>
      </c>
      <c r="C9" s="25"/>
      <c r="D9" s="25"/>
      <c r="E9" s="12"/>
      <c r="F9" s="13"/>
    </row>
    <row r="10" spans="1:6">
      <c r="B10" s="34" t="str">
        <f t="shared" si="0"/>
        <v/>
      </c>
      <c r="C10" s="25"/>
      <c r="D10" s="25"/>
      <c r="E10" s="12"/>
      <c r="F10" s="13"/>
    </row>
    <row r="11" spans="1:6">
      <c r="B11" s="34" t="str">
        <f t="shared" si="0"/>
        <v/>
      </c>
      <c r="C11" s="25"/>
      <c r="D11" s="25"/>
      <c r="E11" s="12"/>
      <c r="F11" s="13"/>
    </row>
    <row r="12" spans="1:6">
      <c r="B12" s="34" t="str">
        <f t="shared" si="0"/>
        <v/>
      </c>
      <c r="C12" s="25"/>
      <c r="D12" s="25"/>
      <c r="E12" s="12"/>
      <c r="F12" s="13"/>
    </row>
    <row r="13" spans="1:6">
      <c r="B13" s="34" t="str">
        <f t="shared" si="0"/>
        <v/>
      </c>
      <c r="C13" s="25"/>
      <c r="D13" s="25"/>
      <c r="E13" s="12"/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4"/>
      <c r="D19" s="4"/>
      <c r="E19" s="14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25"/>
      <c r="F23" s="25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13"/>
    </row>
    <row r="40" spans="2:6">
      <c r="B40" s="34" t="str">
        <f t="shared" si="0"/>
        <v/>
      </c>
      <c r="C40" s="4"/>
      <c r="D40" s="4"/>
      <c r="E40" s="4"/>
      <c r="F40" s="13"/>
    </row>
    <row r="41" spans="2:6">
      <c r="B41" s="34" t="str">
        <f t="shared" si="0"/>
        <v/>
      </c>
      <c r="C41" s="4"/>
      <c r="D41" s="4"/>
      <c r="E41" s="12"/>
      <c r="F41" s="13"/>
    </row>
    <row r="42" spans="2:6">
      <c r="B42" s="34" t="str">
        <f t="shared" si="0"/>
        <v/>
      </c>
      <c r="C42" s="4"/>
      <c r="D42" s="4"/>
      <c r="E42" s="4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/>
      <c r="C45" s="25"/>
      <c r="D45" s="25"/>
      <c r="E45" s="4"/>
      <c r="F45" s="13"/>
    </row>
    <row r="46" spans="2:6">
      <c r="B46" s="34"/>
      <c r="C46" s="4"/>
      <c r="D46" s="4"/>
      <c r="E46" s="4"/>
      <c r="F46" s="13"/>
    </row>
    <row r="47" spans="2:6">
      <c r="B47" s="34"/>
      <c r="C47" s="4"/>
      <c r="D47" s="4"/>
      <c r="E47" s="14"/>
      <c r="F47" s="13"/>
    </row>
    <row r="48" spans="2:6">
      <c r="B48" s="34"/>
      <c r="C48" s="4"/>
      <c r="D48" s="4"/>
      <c r="E48" s="4"/>
      <c r="F48" s="13"/>
    </row>
    <row r="49" spans="2:6">
      <c r="B49" s="34"/>
      <c r="C49" s="4"/>
      <c r="D49" s="4"/>
      <c r="E49" s="1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</sheetData>
  <phoneticPr fontId="1" type="noConversion"/>
  <dataValidations count="1">
    <dataValidation type="list" allowBlank="1" showInputMessage="1" showErrorMessage="1" sqref="E40 E43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5"/>
  <sheetViews>
    <sheetView workbookViewId="0">
      <selection activeCell="E9" sqref="E9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32</v>
      </c>
      <c r="D3" s="9" t="s">
        <v>4</v>
      </c>
      <c r="E3" s="8" t="s">
        <v>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34</v>
      </c>
      <c r="D5" s="25" t="s">
        <v>47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35</v>
      </c>
      <c r="D6" s="25" t="s">
        <v>48</v>
      </c>
      <c r="E6" s="12" t="s">
        <v>43</v>
      </c>
      <c r="F6" s="13"/>
    </row>
    <row r="7" spans="1:6">
      <c r="B7" s="34"/>
      <c r="C7" s="25" t="s">
        <v>39</v>
      </c>
      <c r="D7" s="25" t="s">
        <v>49</v>
      </c>
      <c r="E7" s="12" t="s">
        <v>43</v>
      </c>
      <c r="F7" s="13"/>
    </row>
    <row r="8" spans="1:6">
      <c r="B8" s="34">
        <f t="shared" si="0"/>
        <v>4</v>
      </c>
      <c r="C8" s="25" t="s">
        <v>36</v>
      </c>
      <c r="D8" s="25" t="s">
        <v>50</v>
      </c>
      <c r="E8" s="12" t="s">
        <v>43</v>
      </c>
      <c r="F8" s="13"/>
    </row>
    <row r="9" spans="1:6">
      <c r="B9" s="34">
        <f t="shared" si="0"/>
        <v>5</v>
      </c>
      <c r="C9" s="25" t="s">
        <v>37</v>
      </c>
      <c r="D9" s="25" t="s">
        <v>51</v>
      </c>
      <c r="E9" s="12" t="s">
        <v>44</v>
      </c>
      <c r="F9" s="13"/>
    </row>
    <row r="10" spans="1:6">
      <c r="B10" s="34">
        <f t="shared" si="0"/>
        <v>6</v>
      </c>
      <c r="C10" s="25" t="s">
        <v>38</v>
      </c>
      <c r="D10" s="25" t="s">
        <v>52</v>
      </c>
      <c r="E10" s="12" t="s">
        <v>45</v>
      </c>
      <c r="F10" s="13"/>
    </row>
    <row r="11" spans="1:6">
      <c r="B11" s="34">
        <f t="shared" si="0"/>
        <v>7</v>
      </c>
      <c r="C11" s="25" t="s">
        <v>40</v>
      </c>
      <c r="D11" s="25" t="s">
        <v>53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42</v>
      </c>
      <c r="D13" s="25" t="s">
        <v>55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5"/>
  <sheetViews>
    <sheetView workbookViewId="0">
      <selection activeCell="C10" sqref="C10: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75</v>
      </c>
      <c r="D3" s="9" t="s">
        <v>4</v>
      </c>
      <c r="E3" s="8" t="s">
        <v>57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67</v>
      </c>
      <c r="D6" s="25" t="s">
        <v>59</v>
      </c>
      <c r="E6" s="12" t="s">
        <v>43</v>
      </c>
      <c r="F6" s="13"/>
    </row>
    <row r="7" spans="1:6">
      <c r="B7" s="34">
        <f t="shared" si="0"/>
        <v>3</v>
      </c>
      <c r="C7" s="25" t="s">
        <v>68</v>
      </c>
      <c r="D7" s="25" t="s">
        <v>60</v>
      </c>
      <c r="E7" s="12" t="s">
        <v>73</v>
      </c>
      <c r="F7" s="13"/>
    </row>
    <row r="8" spans="1:6">
      <c r="B8" s="34">
        <f t="shared" si="0"/>
        <v>4</v>
      </c>
      <c r="C8" s="25" t="s">
        <v>69</v>
      </c>
      <c r="D8" s="25" t="s">
        <v>61</v>
      </c>
      <c r="E8" s="12" t="s">
        <v>44</v>
      </c>
      <c r="F8" s="13"/>
    </row>
    <row r="9" spans="1:6">
      <c r="B9" s="34">
        <f t="shared" si="0"/>
        <v>5</v>
      </c>
      <c r="C9" s="25" t="s">
        <v>70</v>
      </c>
      <c r="D9" s="25" t="s">
        <v>62</v>
      </c>
      <c r="E9" s="12" t="s">
        <v>74</v>
      </c>
      <c r="F9" s="13"/>
    </row>
    <row r="10" spans="1:6">
      <c r="B10" s="34">
        <f t="shared" si="0"/>
        <v>6</v>
      </c>
      <c r="C10" s="25" t="s">
        <v>71</v>
      </c>
      <c r="D10" s="25" t="s">
        <v>64</v>
      </c>
      <c r="E10" s="12" t="s">
        <v>29</v>
      </c>
      <c r="F10" s="13"/>
    </row>
    <row r="11" spans="1:6">
      <c r="B11" s="34">
        <f t="shared" si="0"/>
        <v>7</v>
      </c>
      <c r="C11" s="25" t="s">
        <v>72</v>
      </c>
      <c r="D11" s="25" t="s">
        <v>63</v>
      </c>
      <c r="E11" s="12" t="s">
        <v>43</v>
      </c>
      <c r="F11" s="13"/>
    </row>
    <row r="12" spans="1:6">
      <c r="B12" s="34">
        <f t="shared" si="0"/>
        <v>8</v>
      </c>
      <c r="C12" s="25" t="s">
        <v>41</v>
      </c>
      <c r="D12" s="25" t="s">
        <v>54</v>
      </c>
      <c r="E12" s="12" t="s">
        <v>46</v>
      </c>
      <c r="F12" s="13"/>
    </row>
    <row r="13" spans="1:6">
      <c r="B13" s="34">
        <f t="shared" si="0"/>
        <v>9</v>
      </c>
      <c r="C13" s="25" t="s">
        <v>66</v>
      </c>
      <c r="D13" s="25" t="s">
        <v>65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5"/>
  <sheetViews>
    <sheetView workbookViewId="0">
      <selection activeCell="C16" sqref="C16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103</v>
      </c>
      <c r="D3" s="9" t="s">
        <v>4</v>
      </c>
      <c r="E3" s="8" t="s">
        <v>77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116</v>
      </c>
      <c r="F5" s="13"/>
    </row>
    <row r="6" spans="1:6">
      <c r="B6" s="34">
        <f t="shared" ref="B6:B11" si="0">IF(COUNTA(C6)&gt;0,ROW(C6)-4,"")</f>
        <v>2</v>
      </c>
      <c r="C6" s="25" t="s">
        <v>78</v>
      </c>
      <c r="D6" s="25" t="s">
        <v>94</v>
      </c>
      <c r="E6" s="12" t="s">
        <v>43</v>
      </c>
      <c r="F6" s="13"/>
    </row>
    <row r="7" spans="1:6">
      <c r="B7" s="34">
        <f t="shared" si="0"/>
        <v>3</v>
      </c>
      <c r="C7" s="25" t="s">
        <v>79</v>
      </c>
      <c r="D7" s="25" t="s">
        <v>95</v>
      </c>
      <c r="E7" s="12" t="s">
        <v>89</v>
      </c>
      <c r="F7" s="13"/>
    </row>
    <row r="8" spans="1:6">
      <c r="B8" s="34">
        <f t="shared" si="0"/>
        <v>4</v>
      </c>
      <c r="C8" s="25" t="s">
        <v>80</v>
      </c>
      <c r="D8" s="25" t="s">
        <v>96</v>
      </c>
      <c r="E8" s="12" t="s">
        <v>90</v>
      </c>
      <c r="F8" s="13"/>
    </row>
    <row r="9" spans="1:6">
      <c r="B9" s="34">
        <f t="shared" si="0"/>
        <v>5</v>
      </c>
      <c r="C9" s="25" t="s">
        <v>104</v>
      </c>
      <c r="D9" s="25" t="s">
        <v>97</v>
      </c>
      <c r="E9" s="12" t="s">
        <v>91</v>
      </c>
      <c r="F9" s="13"/>
    </row>
    <row r="10" spans="1:6">
      <c r="B10" s="34">
        <f t="shared" si="0"/>
        <v>6</v>
      </c>
      <c r="C10" s="25" t="s">
        <v>81</v>
      </c>
      <c r="D10" s="25" t="s">
        <v>98</v>
      </c>
      <c r="E10" s="12" t="s">
        <v>90</v>
      </c>
      <c r="F10" s="13"/>
    </row>
    <row r="11" spans="1:6">
      <c r="B11" s="34">
        <f t="shared" si="0"/>
        <v>7</v>
      </c>
      <c r="C11" s="25" t="s">
        <v>82</v>
      </c>
      <c r="D11" s="25" t="s">
        <v>99</v>
      </c>
      <c r="E11" s="12" t="s">
        <v>92</v>
      </c>
      <c r="F11" s="13"/>
    </row>
    <row r="12" spans="1:6">
      <c r="B12" s="34">
        <f t="shared" ref="B12:B45" si="1">IF(COUNTA(C12)&gt;0,ROW(C12)-4,"")</f>
        <v>8</v>
      </c>
      <c r="C12" s="25" t="s">
        <v>83</v>
      </c>
      <c r="D12" s="25" t="s">
        <v>100</v>
      </c>
      <c r="E12" s="12" t="s">
        <v>46</v>
      </c>
      <c r="F12" s="13"/>
    </row>
    <row r="13" spans="1:6">
      <c r="B13" s="34">
        <f t="shared" si="1"/>
        <v>9</v>
      </c>
      <c r="C13" s="25" t="s">
        <v>84</v>
      </c>
      <c r="D13" s="25" t="s">
        <v>101</v>
      </c>
      <c r="E13" s="12" t="s">
        <v>46</v>
      </c>
      <c r="F13" s="13"/>
    </row>
    <row r="14" spans="1:6">
      <c r="B14" s="34">
        <f t="shared" si="1"/>
        <v>10</v>
      </c>
      <c r="C14" s="25" t="s">
        <v>85</v>
      </c>
      <c r="D14" s="25" t="s">
        <v>102</v>
      </c>
      <c r="E14" s="12" t="s">
        <v>93</v>
      </c>
      <c r="F14" s="13"/>
    </row>
    <row r="15" spans="1:6">
      <c r="B15" s="34">
        <f t="shared" si="1"/>
        <v>11</v>
      </c>
      <c r="C15" s="25" t="s">
        <v>86</v>
      </c>
      <c r="D15" s="25" t="s">
        <v>64</v>
      </c>
      <c r="E15" s="12" t="s">
        <v>29</v>
      </c>
      <c r="F15" s="13"/>
    </row>
    <row r="16" spans="1:6">
      <c r="B16" s="34">
        <f t="shared" si="1"/>
        <v>12</v>
      </c>
      <c r="C16" s="25" t="s">
        <v>145</v>
      </c>
      <c r="D16" s="25" t="s">
        <v>63</v>
      </c>
      <c r="E16" s="12" t="s">
        <v>43</v>
      </c>
      <c r="F16" s="13"/>
    </row>
    <row r="17" spans="2:6">
      <c r="B17" s="34">
        <f t="shared" si="1"/>
        <v>13</v>
      </c>
      <c r="C17" s="25" t="s">
        <v>41</v>
      </c>
      <c r="D17" s="25" t="s">
        <v>54</v>
      </c>
      <c r="E17" s="12" t="s">
        <v>46</v>
      </c>
      <c r="F17" s="13"/>
    </row>
    <row r="18" spans="2:6">
      <c r="B18" s="34">
        <f t="shared" si="1"/>
        <v>14</v>
      </c>
      <c r="C18" s="25" t="s">
        <v>87</v>
      </c>
      <c r="D18" s="25" t="s">
        <v>88</v>
      </c>
      <c r="E18" s="12" t="s">
        <v>43</v>
      </c>
      <c r="F18" s="13"/>
    </row>
    <row r="19" spans="2:6">
      <c r="B19" s="34">
        <f t="shared" si="1"/>
        <v>15</v>
      </c>
      <c r="C19" s="25" t="s">
        <v>66</v>
      </c>
      <c r="D19" s="25" t="s">
        <v>65</v>
      </c>
      <c r="E19" s="12" t="s">
        <v>46</v>
      </c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9"/>
  <sheetViews>
    <sheetView workbookViewId="0">
      <selection activeCell="E13" sqref="E1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119</v>
      </c>
      <c r="D3" s="9" t="s">
        <v>4</v>
      </c>
      <c r="E3" s="8" t="s">
        <v>106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91</v>
      </c>
      <c r="F5" s="13"/>
    </row>
    <row r="6" spans="1:6">
      <c r="B6" s="34"/>
      <c r="C6" s="25" t="s">
        <v>121</v>
      </c>
      <c r="D6" s="25" t="s">
        <v>117</v>
      </c>
      <c r="E6" s="12" t="s">
        <v>43</v>
      </c>
      <c r="F6" s="13"/>
    </row>
    <row r="7" spans="1:6">
      <c r="B7" s="34"/>
      <c r="C7" s="25" t="s">
        <v>122</v>
      </c>
      <c r="D7" s="25" t="s">
        <v>114</v>
      </c>
      <c r="E7" s="12" t="s">
        <v>115</v>
      </c>
      <c r="F7" s="13"/>
    </row>
    <row r="8" spans="1:6">
      <c r="B8" s="34">
        <f t="shared" ref="B8:B49" si="0">IF(COUNTA(C8)&gt;0,ROW(C8)-4,"")</f>
        <v>4</v>
      </c>
      <c r="C8" s="25" t="s">
        <v>123</v>
      </c>
      <c r="D8" s="25" t="s">
        <v>108</v>
      </c>
      <c r="E8" s="12" t="s">
        <v>115</v>
      </c>
      <c r="F8" s="13"/>
    </row>
    <row r="9" spans="1:6">
      <c r="B9" s="34"/>
      <c r="C9" s="25" t="s">
        <v>124</v>
      </c>
      <c r="D9" s="25" t="s">
        <v>113</v>
      </c>
      <c r="E9" s="12" t="s">
        <v>90</v>
      </c>
      <c r="F9" s="13"/>
    </row>
    <row r="10" spans="1:6">
      <c r="B10" s="34"/>
      <c r="C10" s="25" t="s">
        <v>125</v>
      </c>
      <c r="D10" s="25" t="s">
        <v>111</v>
      </c>
      <c r="E10" s="12" t="s">
        <v>92</v>
      </c>
      <c r="F10" s="13"/>
    </row>
    <row r="11" spans="1:6">
      <c r="B11" s="34"/>
      <c r="C11" s="25" t="s">
        <v>126</v>
      </c>
      <c r="D11" s="25" t="s">
        <v>112</v>
      </c>
      <c r="E11" s="12" t="s">
        <v>120</v>
      </c>
      <c r="F11" s="13"/>
    </row>
    <row r="12" spans="1:6">
      <c r="B12" s="34">
        <f t="shared" si="0"/>
        <v>8</v>
      </c>
      <c r="C12" s="25" t="s">
        <v>86</v>
      </c>
      <c r="D12" s="25" t="s">
        <v>109</v>
      </c>
      <c r="E12" s="12" t="s">
        <v>115</v>
      </c>
      <c r="F12" s="13"/>
    </row>
    <row r="13" spans="1:6">
      <c r="B13" s="34">
        <f t="shared" si="0"/>
        <v>9</v>
      </c>
      <c r="C13" s="25" t="s">
        <v>127</v>
      </c>
      <c r="D13" s="25" t="s">
        <v>110</v>
      </c>
      <c r="E13" s="12" t="s">
        <v>46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25"/>
      <c r="D20" s="25"/>
      <c r="E20" s="12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4"/>
      <c r="D24" s="4"/>
      <c r="E24" s="14"/>
      <c r="F24" s="13"/>
    </row>
    <row r="25" spans="2:6">
      <c r="B25" s="34" t="str">
        <f t="shared" si="0"/>
        <v/>
      </c>
      <c r="C25" s="25"/>
      <c r="D25" s="25"/>
      <c r="E25" s="12"/>
      <c r="F25" s="13"/>
    </row>
    <row r="26" spans="2:6">
      <c r="B26" s="34" t="str">
        <f t="shared" si="0"/>
        <v/>
      </c>
      <c r="C26" s="25"/>
      <c r="D26" s="25"/>
      <c r="E26" s="12"/>
      <c r="F26" s="13"/>
    </row>
    <row r="27" spans="2:6">
      <c r="B27" s="34" t="str">
        <f t="shared" si="0"/>
        <v/>
      </c>
      <c r="C27" s="25"/>
      <c r="D27" s="25"/>
      <c r="E27" s="12"/>
      <c r="F27" s="13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25"/>
    </row>
    <row r="41" spans="2:6">
      <c r="B41" s="34" t="str">
        <f t="shared" si="0"/>
        <v/>
      </c>
      <c r="C41" s="25"/>
      <c r="D41" s="25"/>
      <c r="E41" s="25"/>
      <c r="F41" s="25"/>
    </row>
    <row r="42" spans="2:6">
      <c r="B42" s="34" t="str">
        <f t="shared" si="0"/>
        <v/>
      </c>
      <c r="C42" s="25"/>
      <c r="D42" s="25"/>
      <c r="E42" s="25"/>
      <c r="F42" s="25"/>
    </row>
    <row r="43" spans="2:6">
      <c r="B43" s="34" t="str">
        <f t="shared" si="0"/>
        <v/>
      </c>
      <c r="C43" s="25"/>
      <c r="D43" s="25"/>
      <c r="E43" s="25"/>
      <c r="F43" s="25"/>
    </row>
    <row r="44" spans="2:6">
      <c r="B44" s="34" t="str">
        <f t="shared" si="0"/>
        <v/>
      </c>
      <c r="C44" s="25"/>
      <c r="D44" s="25"/>
      <c r="E44" s="25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 t="str">
        <f t="shared" si="0"/>
        <v/>
      </c>
      <c r="C46" s="4"/>
      <c r="D46" s="4"/>
      <c r="E46" s="12"/>
      <c r="F46" s="13"/>
    </row>
    <row r="47" spans="2:6">
      <c r="B47" s="34" t="str">
        <f t="shared" si="0"/>
        <v/>
      </c>
      <c r="C47" s="4"/>
      <c r="D47" s="4"/>
      <c r="E47" s="4"/>
      <c r="F47" s="13"/>
    </row>
    <row r="48" spans="2:6">
      <c r="B48" s="34" t="str">
        <f t="shared" si="0"/>
        <v/>
      </c>
      <c r="C48" s="4"/>
      <c r="D48" s="4"/>
      <c r="E48" s="4"/>
      <c r="F48" s="13"/>
    </row>
    <row r="49" spans="2:6">
      <c r="B49" s="34" t="str">
        <f t="shared" si="0"/>
        <v/>
      </c>
      <c r="C49" s="4"/>
      <c r="D49" s="4"/>
      <c r="E49" s="4"/>
      <c r="F49" s="13"/>
    </row>
    <row r="50" spans="2:6">
      <c r="B50" s="34"/>
      <c r="C50" s="25"/>
      <c r="D50" s="25"/>
      <c r="E50" s="4"/>
      <c r="F50" s="13"/>
    </row>
    <row r="51" spans="2:6">
      <c r="B51" s="34"/>
      <c r="C51" s="4"/>
      <c r="D51" s="4"/>
      <c r="E51" s="4"/>
      <c r="F51" s="13"/>
    </row>
    <row r="52" spans="2:6">
      <c r="B52" s="34"/>
      <c r="C52" s="4"/>
      <c r="D52" s="4"/>
      <c r="E52" s="1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14"/>
      <c r="F54" s="13"/>
    </row>
    <row r="55" spans="2:6">
      <c r="B55" s="34"/>
      <c r="C55" s="4"/>
      <c r="D55" s="4"/>
      <c r="E55" s="14"/>
      <c r="F55" s="13"/>
    </row>
    <row r="56" spans="2:6">
      <c r="B56" s="34"/>
      <c r="C56" s="4"/>
      <c r="D56" s="4"/>
      <c r="E56" s="4"/>
      <c r="F56" s="13"/>
    </row>
    <row r="57" spans="2:6">
      <c r="B57" s="34"/>
      <c r="C57" s="4"/>
      <c r="D57" s="4"/>
      <c r="E57" s="4"/>
      <c r="F57" s="13"/>
    </row>
    <row r="58" spans="2:6">
      <c r="B58" s="34"/>
      <c r="C58" s="4"/>
      <c r="D58" s="4"/>
      <c r="E58" s="4"/>
      <c r="F58" s="13"/>
    </row>
    <row r="59" spans="2:6">
      <c r="B59" s="34"/>
      <c r="C59" s="4"/>
      <c r="D59" s="4"/>
      <c r="E59" s="4"/>
      <c r="F59" s="13"/>
    </row>
  </sheetData>
  <phoneticPr fontId="1" type="noConversion"/>
  <dataValidations count="1">
    <dataValidation type="list" allowBlank="1" showInputMessage="1" showErrorMessage="1" sqref="E45 E48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5"/>
  <sheetViews>
    <sheetView workbookViewId="0">
      <selection activeCell="E12" sqref="E12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128</v>
      </c>
      <c r="D3" s="9" t="s">
        <v>4</v>
      </c>
      <c r="E3" s="8" t="s">
        <v>130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29</v>
      </c>
      <c r="F5" s="13"/>
    </row>
    <row r="6" spans="1:6">
      <c r="B6" s="34">
        <f t="shared" ref="B6:B45" si="0">IF(COUNTA(C6)&gt;0,ROW(C6)-4,"")</f>
        <v>2</v>
      </c>
      <c r="C6" s="25" t="s">
        <v>140</v>
      </c>
      <c r="D6" s="25" t="s">
        <v>132</v>
      </c>
      <c r="E6" s="12" t="s">
        <v>149</v>
      </c>
      <c r="F6" s="13"/>
    </row>
    <row r="7" spans="1:6">
      <c r="B7" s="34">
        <f t="shared" si="0"/>
        <v>3</v>
      </c>
      <c r="C7" s="25" t="s">
        <v>141</v>
      </c>
      <c r="D7" s="25" t="s">
        <v>133</v>
      </c>
      <c r="E7" s="12" t="s">
        <v>150</v>
      </c>
      <c r="F7" s="13"/>
    </row>
    <row r="8" spans="1:6">
      <c r="B8" s="34">
        <f t="shared" si="0"/>
        <v>4</v>
      </c>
      <c r="C8" s="25" t="s">
        <v>142</v>
      </c>
      <c r="D8" s="25" t="s">
        <v>134</v>
      </c>
      <c r="E8" s="12" t="s">
        <v>151</v>
      </c>
      <c r="F8" s="13"/>
    </row>
    <row r="9" spans="1:6">
      <c r="B9" s="34">
        <f t="shared" si="0"/>
        <v>5</v>
      </c>
      <c r="C9" s="25" t="s">
        <v>143</v>
      </c>
      <c r="D9" s="25" t="s">
        <v>109</v>
      </c>
      <c r="E9" s="12" t="s">
        <v>29</v>
      </c>
      <c r="F9" s="13"/>
    </row>
    <row r="10" spans="1:6">
      <c r="B10" s="34">
        <f t="shared" si="0"/>
        <v>6</v>
      </c>
      <c r="C10" s="25" t="s">
        <v>144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146</v>
      </c>
      <c r="D11" s="25" t="s">
        <v>136</v>
      </c>
      <c r="E11" s="12" t="s">
        <v>45</v>
      </c>
      <c r="F11" s="13"/>
    </row>
    <row r="12" spans="1:6">
      <c r="B12" s="34">
        <f t="shared" si="0"/>
        <v>8</v>
      </c>
      <c r="C12" s="25" t="s">
        <v>41</v>
      </c>
      <c r="D12" s="25" t="s">
        <v>139</v>
      </c>
      <c r="E12" s="12" t="s">
        <v>46</v>
      </c>
      <c r="F12" s="13"/>
    </row>
    <row r="13" spans="1:6">
      <c r="B13" s="34">
        <f t="shared" si="0"/>
        <v>9</v>
      </c>
      <c r="C13" s="25" t="s">
        <v>147</v>
      </c>
      <c r="D13" s="25" t="s">
        <v>137</v>
      </c>
      <c r="E13" s="12" t="s">
        <v>29</v>
      </c>
      <c r="F13" s="13"/>
    </row>
    <row r="14" spans="1:6">
      <c r="B14" s="34">
        <f t="shared" si="0"/>
        <v>10</v>
      </c>
      <c r="C14" s="25" t="s">
        <v>148</v>
      </c>
      <c r="D14" s="25" t="s">
        <v>138</v>
      </c>
      <c r="E14" s="12" t="s">
        <v>45</v>
      </c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5"/>
  <sheetViews>
    <sheetView tabSelected="1"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175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45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>IF(COUNTA(C8)&gt;0,ROW(C8)-4,"")</f>
        <v>4</v>
      </c>
      <c r="C8" s="25" t="s">
        <v>166</v>
      </c>
      <c r="D8" s="25" t="s">
        <v>171</v>
      </c>
      <c r="E8" s="12" t="s">
        <v>172</v>
      </c>
      <c r="F8" s="13"/>
    </row>
    <row r="9" spans="1:6">
      <c r="B9" s="34">
        <f t="shared" si="0"/>
        <v>5</v>
      </c>
      <c r="C9" s="25" t="s">
        <v>162</v>
      </c>
      <c r="D9" s="25" t="s">
        <v>135</v>
      </c>
      <c r="E9" s="12" t="s">
        <v>29</v>
      </c>
      <c r="F9" s="13"/>
    </row>
    <row r="10" spans="1:6">
      <c r="B10" s="34">
        <f t="shared" si="0"/>
        <v>6</v>
      </c>
      <c r="C10" s="25" t="s">
        <v>163</v>
      </c>
      <c r="D10" s="25" t="s">
        <v>63</v>
      </c>
      <c r="E10" s="12" t="s">
        <v>45</v>
      </c>
      <c r="F10" s="13"/>
    </row>
    <row r="11" spans="1:6">
      <c r="B11" s="34">
        <f t="shared" si="0"/>
        <v>7</v>
      </c>
      <c r="C11" s="25" t="s">
        <v>167</v>
      </c>
      <c r="D11" s="25" t="s">
        <v>168</v>
      </c>
      <c r="E11" s="12" t="s">
        <v>46</v>
      </c>
      <c r="F11" s="13"/>
    </row>
    <row r="12" spans="1:6">
      <c r="B12" s="34">
        <f t="shared" si="0"/>
        <v>8</v>
      </c>
      <c r="C12" s="25" t="s">
        <v>164</v>
      </c>
      <c r="D12" s="25" t="s">
        <v>169</v>
      </c>
      <c r="E12" s="12" t="s">
        <v>46</v>
      </c>
      <c r="F12" s="13"/>
    </row>
    <row r="13" spans="1:6">
      <c r="B13" s="34">
        <f t="shared" si="0"/>
        <v>9</v>
      </c>
      <c r="C13" s="25" t="s">
        <v>165</v>
      </c>
      <c r="D13" s="25" t="s">
        <v>170</v>
      </c>
      <c r="E13" s="12" t="s">
        <v>45</v>
      </c>
      <c r="F13" s="13"/>
    </row>
    <row r="14" spans="1:6">
      <c r="B14" s="34" t="str">
        <f t="shared" si="0"/>
        <v/>
      </c>
      <c r="C14" s="25"/>
      <c r="D14" s="25"/>
      <c r="E14" s="12"/>
      <c r="F14" s="13"/>
    </row>
    <row r="15" spans="1:6">
      <c r="B15" s="34" t="str">
        <f t="shared" si="0"/>
        <v/>
      </c>
      <c r="C15" s="25"/>
      <c r="D15" s="25"/>
      <c r="E15" s="12"/>
      <c r="F15" s="13"/>
    </row>
    <row r="16" spans="1:6">
      <c r="B16" s="34" t="str">
        <f t="shared" si="0"/>
        <v/>
      </c>
      <c r="C16" s="25"/>
      <c r="D16" s="25"/>
      <c r="E16" s="12"/>
      <c r="F16" s="13"/>
    </row>
    <row r="17" spans="2:6">
      <c r="B17" s="34" t="str">
        <f t="shared" si="0"/>
        <v/>
      </c>
      <c r="C17" s="25"/>
      <c r="D17" s="25"/>
      <c r="E17" s="12"/>
      <c r="F17" s="13"/>
    </row>
    <row r="18" spans="2:6">
      <c r="B18" s="34" t="str">
        <f t="shared" si="0"/>
        <v/>
      </c>
      <c r="C18" s="25"/>
      <c r="D18" s="25"/>
      <c r="E18" s="12"/>
      <c r="F18" s="13"/>
    </row>
    <row r="19" spans="2:6">
      <c r="B19" s="34" t="str">
        <f t="shared" si="0"/>
        <v/>
      </c>
      <c r="C19" s="25"/>
      <c r="D19" s="25"/>
      <c r="E19" s="12"/>
      <c r="F19" s="13"/>
    </row>
    <row r="20" spans="2:6">
      <c r="B20" s="34" t="str">
        <f t="shared" si="0"/>
        <v/>
      </c>
      <c r="C20" s="4"/>
      <c r="D20" s="4"/>
      <c r="E20" s="14"/>
      <c r="F20" s="13"/>
    </row>
    <row r="21" spans="2:6">
      <c r="B21" s="34" t="str">
        <f t="shared" si="0"/>
        <v/>
      </c>
      <c r="C21" s="25"/>
      <c r="D21" s="25"/>
      <c r="E21" s="12"/>
      <c r="F21" s="13"/>
    </row>
    <row r="22" spans="2:6">
      <c r="B22" s="34" t="str">
        <f t="shared" si="0"/>
        <v/>
      </c>
      <c r="C22" s="25"/>
      <c r="D22" s="25"/>
      <c r="E22" s="12"/>
      <c r="F22" s="13"/>
    </row>
    <row r="23" spans="2:6">
      <c r="B23" s="34" t="str">
        <f t="shared" si="0"/>
        <v/>
      </c>
      <c r="C23" s="25"/>
      <c r="D23" s="25"/>
      <c r="E23" s="12"/>
      <c r="F23" s="13"/>
    </row>
    <row r="24" spans="2:6">
      <c r="B24" s="34" t="str">
        <f t="shared" si="0"/>
        <v/>
      </c>
      <c r="C24" s="25"/>
      <c r="D24" s="25"/>
      <c r="E24" s="25"/>
      <c r="F24" s="25"/>
    </row>
    <row r="25" spans="2:6">
      <c r="B25" s="34" t="str">
        <f t="shared" si="0"/>
        <v/>
      </c>
      <c r="C25" s="25"/>
      <c r="D25" s="25"/>
      <c r="E25" s="25"/>
      <c r="F25" s="25"/>
    </row>
    <row r="26" spans="2:6">
      <c r="B26" s="34" t="str">
        <f t="shared" si="0"/>
        <v/>
      </c>
      <c r="C26" s="25"/>
      <c r="D26" s="25"/>
      <c r="E26" s="25"/>
      <c r="F26" s="25"/>
    </row>
    <row r="27" spans="2:6">
      <c r="B27" s="34" t="str">
        <f t="shared" si="0"/>
        <v/>
      </c>
      <c r="C27" s="25"/>
      <c r="D27" s="25"/>
      <c r="E27" s="25"/>
      <c r="F27" s="25"/>
    </row>
    <row r="28" spans="2:6">
      <c r="B28" s="34" t="str">
        <f t="shared" si="0"/>
        <v/>
      </c>
      <c r="C28" s="25"/>
      <c r="D28" s="25"/>
      <c r="E28" s="25"/>
      <c r="F28" s="25"/>
    </row>
    <row r="29" spans="2:6">
      <c r="B29" s="34" t="str">
        <f t="shared" si="0"/>
        <v/>
      </c>
      <c r="C29" s="25"/>
      <c r="D29" s="25"/>
      <c r="E29" s="25"/>
      <c r="F29" s="25"/>
    </row>
    <row r="30" spans="2:6">
      <c r="B30" s="34" t="str">
        <f t="shared" si="0"/>
        <v/>
      </c>
      <c r="C30" s="25"/>
      <c r="D30" s="25"/>
      <c r="E30" s="25"/>
      <c r="F30" s="25"/>
    </row>
    <row r="31" spans="2:6">
      <c r="B31" s="34" t="str">
        <f t="shared" si="0"/>
        <v/>
      </c>
      <c r="C31" s="25"/>
      <c r="D31" s="25"/>
      <c r="E31" s="25"/>
      <c r="F31" s="25"/>
    </row>
    <row r="32" spans="2:6">
      <c r="B32" s="34" t="str">
        <f t="shared" si="0"/>
        <v/>
      </c>
      <c r="C32" s="25"/>
      <c r="D32" s="25"/>
      <c r="E32" s="25"/>
      <c r="F32" s="25"/>
    </row>
    <row r="33" spans="2:6">
      <c r="B33" s="34" t="str">
        <f t="shared" si="0"/>
        <v/>
      </c>
      <c r="C33" s="25"/>
      <c r="D33" s="25"/>
      <c r="E33" s="25"/>
      <c r="F33" s="25"/>
    </row>
    <row r="34" spans="2:6">
      <c r="B34" s="34" t="str">
        <f t="shared" si="0"/>
        <v/>
      </c>
      <c r="C34" s="25"/>
      <c r="D34" s="25"/>
      <c r="E34" s="25"/>
      <c r="F34" s="25"/>
    </row>
    <row r="35" spans="2:6">
      <c r="B35" s="34" t="str">
        <f t="shared" si="0"/>
        <v/>
      </c>
      <c r="C35" s="25"/>
      <c r="D35" s="25"/>
      <c r="E35" s="25"/>
      <c r="F35" s="25"/>
    </row>
    <row r="36" spans="2:6">
      <c r="B36" s="34" t="str">
        <f t="shared" si="0"/>
        <v/>
      </c>
      <c r="C36" s="25"/>
      <c r="D36" s="25"/>
      <c r="E36" s="25"/>
      <c r="F36" s="25"/>
    </row>
    <row r="37" spans="2:6">
      <c r="B37" s="34" t="str">
        <f t="shared" si="0"/>
        <v/>
      </c>
      <c r="C37" s="25"/>
      <c r="D37" s="25"/>
      <c r="E37" s="25"/>
      <c r="F37" s="25"/>
    </row>
    <row r="38" spans="2:6">
      <c r="B38" s="34" t="str">
        <f t="shared" si="0"/>
        <v/>
      </c>
      <c r="C38" s="25"/>
      <c r="D38" s="25"/>
      <c r="E38" s="25"/>
      <c r="F38" s="25"/>
    </row>
    <row r="39" spans="2:6">
      <c r="B39" s="34" t="str">
        <f t="shared" si="0"/>
        <v/>
      </c>
      <c r="C39" s="25"/>
      <c r="D39" s="25"/>
      <c r="E39" s="25"/>
      <c r="F39" s="25"/>
    </row>
    <row r="40" spans="2:6">
      <c r="B40" s="34" t="str">
        <f t="shared" si="0"/>
        <v/>
      </c>
      <c r="C40" s="25"/>
      <c r="D40" s="25"/>
      <c r="E40" s="25"/>
      <c r="F40" s="13"/>
    </row>
    <row r="41" spans="2:6">
      <c r="B41" s="34" t="str">
        <f t="shared" si="0"/>
        <v/>
      </c>
      <c r="C41" s="4"/>
      <c r="D41" s="4"/>
      <c r="E41" s="4"/>
      <c r="F41" s="13"/>
    </row>
    <row r="42" spans="2:6">
      <c r="B42" s="34" t="str">
        <f t="shared" si="0"/>
        <v/>
      </c>
      <c r="C42" s="4"/>
      <c r="D42" s="4"/>
      <c r="E42" s="12"/>
      <c r="F42" s="13"/>
    </row>
    <row r="43" spans="2:6">
      <c r="B43" s="34" t="str">
        <f t="shared" si="0"/>
        <v/>
      </c>
      <c r="C43" s="4"/>
      <c r="D43" s="4"/>
      <c r="E43" s="4"/>
      <c r="F43" s="13"/>
    </row>
    <row r="44" spans="2:6">
      <c r="B44" s="34" t="str">
        <f t="shared" si="0"/>
        <v/>
      </c>
      <c r="C44" s="4"/>
      <c r="D44" s="4"/>
      <c r="E44" s="4"/>
      <c r="F44" s="13"/>
    </row>
    <row r="45" spans="2:6">
      <c r="B45" s="34" t="str">
        <f t="shared" si="0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55"/>
  <sheetViews>
    <sheetView workbookViewId="0">
      <selection activeCell="C3" sqref="C3"/>
    </sheetView>
  </sheetViews>
  <sheetFormatPr defaultRowHeight="13.5"/>
  <cols>
    <col min="2" max="2" width="11" style="35" bestFit="1" customWidth="1"/>
    <col min="3" max="3" width="22.875" customWidth="1"/>
    <col min="4" max="5" width="20.625" customWidth="1"/>
    <col min="6" max="6" width="18.625" customWidth="1"/>
  </cols>
  <sheetData>
    <row r="1" spans="1:6">
      <c r="A1" s="6" t="s">
        <v>23</v>
      </c>
    </row>
    <row r="3" spans="1:6">
      <c r="B3" s="7" t="s">
        <v>2</v>
      </c>
      <c r="C3" s="8" t="s">
        <v>176</v>
      </c>
      <c r="D3" s="9" t="s">
        <v>4</v>
      </c>
      <c r="E3" s="8" t="s">
        <v>153</v>
      </c>
      <c r="F3" s="25"/>
    </row>
    <row r="4" spans="1:6">
      <c r="B4" s="10" t="s">
        <v>1</v>
      </c>
      <c r="C4" s="10" t="s">
        <v>13</v>
      </c>
      <c r="D4" s="10" t="s">
        <v>14</v>
      </c>
      <c r="E4" s="10" t="s">
        <v>15</v>
      </c>
      <c r="F4" s="11" t="s">
        <v>26</v>
      </c>
    </row>
    <row r="5" spans="1:6">
      <c r="B5" s="34">
        <f>IF(COUNTA(C5)&gt;0,ROW(C5)-4,"")</f>
        <v>1</v>
      </c>
      <c r="C5" s="25" t="s">
        <v>27</v>
      </c>
      <c r="D5" s="25" t="s">
        <v>28</v>
      </c>
      <c r="E5" s="12" t="s">
        <v>156</v>
      </c>
      <c r="F5" s="13"/>
    </row>
    <row r="6" spans="1:6">
      <c r="B6" s="34">
        <f t="shared" ref="B6:B14" si="0">IF(COUNTA(C6)&gt;0,ROW(C6)-4,"")</f>
        <v>2</v>
      </c>
      <c r="C6" s="25" t="s">
        <v>157</v>
      </c>
      <c r="D6" s="25" t="s">
        <v>158</v>
      </c>
      <c r="E6" s="12" t="s">
        <v>156</v>
      </c>
      <c r="F6" s="13"/>
    </row>
    <row r="7" spans="1:6">
      <c r="B7" s="34">
        <f t="shared" si="0"/>
        <v>3</v>
      </c>
      <c r="C7" s="25" t="s">
        <v>159</v>
      </c>
      <c r="D7" s="25" t="s">
        <v>160</v>
      </c>
      <c r="E7" s="12" t="s">
        <v>161</v>
      </c>
      <c r="F7" s="13"/>
    </row>
    <row r="8" spans="1:6">
      <c r="B8" s="34">
        <f t="shared" si="0"/>
        <v>4</v>
      </c>
      <c r="C8" s="25" t="s">
        <v>173</v>
      </c>
      <c r="D8" s="25" t="s">
        <v>174</v>
      </c>
      <c r="E8" s="12" t="s">
        <v>156</v>
      </c>
      <c r="F8" s="13"/>
    </row>
    <row r="9" spans="1:6">
      <c r="B9" s="34">
        <f>IF(COUNTA(C9)&gt;0,ROW(C9)-4,"")</f>
        <v>5</v>
      </c>
      <c r="C9" s="25" t="s">
        <v>166</v>
      </c>
      <c r="D9" s="25" t="s">
        <v>171</v>
      </c>
      <c r="E9" s="12" t="s">
        <v>172</v>
      </c>
      <c r="F9" s="13"/>
    </row>
    <row r="10" spans="1:6">
      <c r="B10" s="34">
        <f t="shared" si="0"/>
        <v>6</v>
      </c>
      <c r="C10" s="25" t="s">
        <v>162</v>
      </c>
      <c r="D10" s="25" t="s">
        <v>135</v>
      </c>
      <c r="E10" s="12" t="s">
        <v>29</v>
      </c>
      <c r="F10" s="13"/>
    </row>
    <row r="11" spans="1:6">
      <c r="B11" s="34">
        <f t="shared" si="0"/>
        <v>7</v>
      </c>
      <c r="C11" s="25" t="s">
        <v>163</v>
      </c>
      <c r="D11" s="25" t="s">
        <v>63</v>
      </c>
      <c r="E11" s="12" t="s">
        <v>45</v>
      </c>
      <c r="F11" s="13"/>
    </row>
    <row r="12" spans="1:6">
      <c r="B12" s="34">
        <f t="shared" si="0"/>
        <v>8</v>
      </c>
      <c r="C12" s="25" t="s">
        <v>167</v>
      </c>
      <c r="D12" s="25" t="s">
        <v>168</v>
      </c>
      <c r="E12" s="12" t="s">
        <v>46</v>
      </c>
      <c r="F12" s="13"/>
    </row>
    <row r="13" spans="1:6">
      <c r="B13" s="34">
        <f t="shared" si="0"/>
        <v>9</v>
      </c>
      <c r="C13" s="25" t="s">
        <v>164</v>
      </c>
      <c r="D13" s="25" t="s">
        <v>169</v>
      </c>
      <c r="E13" s="12" t="s">
        <v>46</v>
      </c>
      <c r="F13" s="13"/>
    </row>
    <row r="14" spans="1:6">
      <c r="B14" s="34">
        <f t="shared" si="0"/>
        <v>10</v>
      </c>
      <c r="C14" s="25" t="s">
        <v>165</v>
      </c>
      <c r="D14" s="25" t="s">
        <v>170</v>
      </c>
      <c r="E14" s="12" t="s">
        <v>45</v>
      </c>
      <c r="F14" s="13"/>
    </row>
    <row r="15" spans="1:6">
      <c r="B15" s="34" t="str">
        <f t="shared" ref="B15:B45" si="1">IF(COUNTA(C15)&gt;0,ROW(C15)-4,"")</f>
        <v/>
      </c>
      <c r="C15" s="25"/>
      <c r="D15" s="25"/>
      <c r="E15" s="12"/>
      <c r="F15" s="13"/>
    </row>
    <row r="16" spans="1:6">
      <c r="B16" s="34" t="str">
        <f t="shared" si="1"/>
        <v/>
      </c>
      <c r="C16" s="25"/>
      <c r="D16" s="25"/>
      <c r="E16" s="12"/>
      <c r="F16" s="13"/>
    </row>
    <row r="17" spans="2:6">
      <c r="B17" s="34" t="str">
        <f t="shared" si="1"/>
        <v/>
      </c>
      <c r="C17" s="25"/>
      <c r="D17" s="25"/>
      <c r="E17" s="12"/>
      <c r="F17" s="13"/>
    </row>
    <row r="18" spans="2:6">
      <c r="B18" s="34" t="str">
        <f t="shared" si="1"/>
        <v/>
      </c>
      <c r="C18" s="25"/>
      <c r="D18" s="25"/>
      <c r="E18" s="12"/>
      <c r="F18" s="13"/>
    </row>
    <row r="19" spans="2:6">
      <c r="B19" s="34" t="str">
        <f t="shared" si="1"/>
        <v/>
      </c>
      <c r="C19" s="25"/>
      <c r="D19" s="25"/>
      <c r="E19" s="12"/>
      <c r="F19" s="13"/>
    </row>
    <row r="20" spans="2:6">
      <c r="B20" s="34" t="str">
        <f t="shared" si="1"/>
        <v/>
      </c>
      <c r="C20" s="4"/>
      <c r="D20" s="4"/>
      <c r="E20" s="14"/>
      <c r="F20" s="13"/>
    </row>
    <row r="21" spans="2:6">
      <c r="B21" s="34" t="str">
        <f t="shared" si="1"/>
        <v/>
      </c>
      <c r="C21" s="25"/>
      <c r="D21" s="25"/>
      <c r="E21" s="12"/>
      <c r="F21" s="13"/>
    </row>
    <row r="22" spans="2:6">
      <c r="B22" s="34" t="str">
        <f t="shared" si="1"/>
        <v/>
      </c>
      <c r="C22" s="25"/>
      <c r="D22" s="25"/>
      <c r="E22" s="12"/>
      <c r="F22" s="13"/>
    </row>
    <row r="23" spans="2:6">
      <c r="B23" s="34" t="str">
        <f t="shared" si="1"/>
        <v/>
      </c>
      <c r="C23" s="25"/>
      <c r="D23" s="25"/>
      <c r="E23" s="12"/>
      <c r="F23" s="13"/>
    </row>
    <row r="24" spans="2:6">
      <c r="B24" s="34" t="str">
        <f t="shared" si="1"/>
        <v/>
      </c>
      <c r="C24" s="25"/>
      <c r="D24" s="25"/>
      <c r="E24" s="25"/>
      <c r="F24" s="25"/>
    </row>
    <row r="25" spans="2:6">
      <c r="B25" s="34" t="str">
        <f t="shared" si="1"/>
        <v/>
      </c>
      <c r="C25" s="25"/>
      <c r="D25" s="25"/>
      <c r="E25" s="25"/>
      <c r="F25" s="25"/>
    </row>
    <row r="26" spans="2:6">
      <c r="B26" s="34" t="str">
        <f t="shared" si="1"/>
        <v/>
      </c>
      <c r="C26" s="25"/>
      <c r="D26" s="25"/>
      <c r="E26" s="25"/>
      <c r="F26" s="25"/>
    </row>
    <row r="27" spans="2:6">
      <c r="B27" s="34" t="str">
        <f t="shared" si="1"/>
        <v/>
      </c>
      <c r="C27" s="25"/>
      <c r="D27" s="25"/>
      <c r="E27" s="25"/>
      <c r="F27" s="25"/>
    </row>
    <row r="28" spans="2:6">
      <c r="B28" s="34" t="str">
        <f t="shared" si="1"/>
        <v/>
      </c>
      <c r="C28" s="25"/>
      <c r="D28" s="25"/>
      <c r="E28" s="25"/>
      <c r="F28" s="25"/>
    </row>
    <row r="29" spans="2:6">
      <c r="B29" s="34" t="str">
        <f t="shared" si="1"/>
        <v/>
      </c>
      <c r="C29" s="25"/>
      <c r="D29" s="25"/>
      <c r="E29" s="25"/>
      <c r="F29" s="25"/>
    </row>
    <row r="30" spans="2:6">
      <c r="B30" s="34" t="str">
        <f t="shared" si="1"/>
        <v/>
      </c>
      <c r="C30" s="25"/>
      <c r="D30" s="25"/>
      <c r="E30" s="25"/>
      <c r="F30" s="25"/>
    </row>
    <row r="31" spans="2:6">
      <c r="B31" s="34" t="str">
        <f t="shared" si="1"/>
        <v/>
      </c>
      <c r="C31" s="25"/>
      <c r="D31" s="25"/>
      <c r="E31" s="25"/>
      <c r="F31" s="25"/>
    </row>
    <row r="32" spans="2:6">
      <c r="B32" s="34" t="str">
        <f t="shared" si="1"/>
        <v/>
      </c>
      <c r="C32" s="25"/>
      <c r="D32" s="25"/>
      <c r="E32" s="25"/>
      <c r="F32" s="25"/>
    </row>
    <row r="33" spans="2:6">
      <c r="B33" s="34" t="str">
        <f t="shared" si="1"/>
        <v/>
      </c>
      <c r="C33" s="25"/>
      <c r="D33" s="25"/>
      <c r="E33" s="25"/>
      <c r="F33" s="25"/>
    </row>
    <row r="34" spans="2:6">
      <c r="B34" s="34" t="str">
        <f t="shared" si="1"/>
        <v/>
      </c>
      <c r="C34" s="25"/>
      <c r="D34" s="25"/>
      <c r="E34" s="25"/>
      <c r="F34" s="25"/>
    </row>
    <row r="35" spans="2:6">
      <c r="B35" s="34" t="str">
        <f t="shared" si="1"/>
        <v/>
      </c>
      <c r="C35" s="25"/>
      <c r="D35" s="25"/>
      <c r="E35" s="25"/>
      <c r="F35" s="25"/>
    </row>
    <row r="36" spans="2:6">
      <c r="B36" s="34" t="str">
        <f t="shared" si="1"/>
        <v/>
      </c>
      <c r="C36" s="25"/>
      <c r="D36" s="25"/>
      <c r="E36" s="25"/>
      <c r="F36" s="25"/>
    </row>
    <row r="37" spans="2:6">
      <c r="B37" s="34" t="str">
        <f t="shared" si="1"/>
        <v/>
      </c>
      <c r="C37" s="25"/>
      <c r="D37" s="25"/>
      <c r="E37" s="25"/>
      <c r="F37" s="25"/>
    </row>
    <row r="38" spans="2:6">
      <c r="B38" s="34" t="str">
        <f t="shared" si="1"/>
        <v/>
      </c>
      <c r="C38" s="25"/>
      <c r="D38" s="25"/>
      <c r="E38" s="25"/>
      <c r="F38" s="25"/>
    </row>
    <row r="39" spans="2:6">
      <c r="B39" s="34" t="str">
        <f t="shared" si="1"/>
        <v/>
      </c>
      <c r="C39" s="25"/>
      <c r="D39" s="25"/>
      <c r="E39" s="25"/>
      <c r="F39" s="25"/>
    </row>
    <row r="40" spans="2:6">
      <c r="B40" s="34" t="str">
        <f t="shared" si="1"/>
        <v/>
      </c>
      <c r="C40" s="25"/>
      <c r="D40" s="25"/>
      <c r="E40" s="25"/>
      <c r="F40" s="13"/>
    </row>
    <row r="41" spans="2:6">
      <c r="B41" s="34" t="str">
        <f t="shared" si="1"/>
        <v/>
      </c>
      <c r="C41" s="4"/>
      <c r="D41" s="4"/>
      <c r="E41" s="4"/>
      <c r="F41" s="13"/>
    </row>
    <row r="42" spans="2:6">
      <c r="B42" s="34" t="str">
        <f t="shared" si="1"/>
        <v/>
      </c>
      <c r="C42" s="4"/>
      <c r="D42" s="4"/>
      <c r="E42" s="12"/>
      <c r="F42" s="13"/>
    </row>
    <row r="43" spans="2:6">
      <c r="B43" s="34" t="str">
        <f t="shared" si="1"/>
        <v/>
      </c>
      <c r="C43" s="4"/>
      <c r="D43" s="4"/>
      <c r="E43" s="4"/>
      <c r="F43" s="13"/>
    </row>
    <row r="44" spans="2:6">
      <c r="B44" s="34" t="str">
        <f t="shared" si="1"/>
        <v/>
      </c>
      <c r="C44" s="4"/>
      <c r="D44" s="4"/>
      <c r="E44" s="4"/>
      <c r="F44" s="13"/>
    </row>
    <row r="45" spans="2:6">
      <c r="B45" s="34" t="str">
        <f t="shared" si="1"/>
        <v/>
      </c>
      <c r="C45" s="4"/>
      <c r="D45" s="4"/>
      <c r="E45" s="4"/>
      <c r="F45" s="13"/>
    </row>
    <row r="46" spans="2:6">
      <c r="B46" s="34"/>
      <c r="C46" s="25"/>
      <c r="D46" s="25"/>
      <c r="E46" s="4"/>
      <c r="F46" s="13"/>
    </row>
    <row r="47" spans="2:6">
      <c r="B47" s="34"/>
      <c r="C47" s="4"/>
      <c r="D47" s="4"/>
      <c r="E47" s="4"/>
      <c r="F47" s="13"/>
    </row>
    <row r="48" spans="2:6">
      <c r="B48" s="34"/>
      <c r="C48" s="4"/>
      <c r="D48" s="4"/>
      <c r="E48" s="14"/>
      <c r="F48" s="13"/>
    </row>
    <row r="49" spans="2:6">
      <c r="B49" s="34"/>
      <c r="C49" s="4"/>
      <c r="D49" s="4"/>
      <c r="E49" s="4"/>
      <c r="F49" s="13"/>
    </row>
    <row r="50" spans="2:6">
      <c r="B50" s="34"/>
      <c r="C50" s="4"/>
      <c r="D50" s="4"/>
      <c r="E50" s="14"/>
      <c r="F50" s="13"/>
    </row>
    <row r="51" spans="2:6">
      <c r="B51" s="34"/>
      <c r="C51" s="4"/>
      <c r="D51" s="4"/>
      <c r="E51" s="14"/>
      <c r="F51" s="13"/>
    </row>
    <row r="52" spans="2:6">
      <c r="B52" s="34"/>
      <c r="C52" s="4"/>
      <c r="D52" s="4"/>
      <c r="E52" s="4"/>
      <c r="F52" s="13"/>
    </row>
    <row r="53" spans="2:6">
      <c r="B53" s="34"/>
      <c r="C53" s="4"/>
      <c r="D53" s="4"/>
      <c r="E53" s="4"/>
      <c r="F53" s="13"/>
    </row>
    <row r="54" spans="2:6">
      <c r="B54" s="34"/>
      <c r="C54" s="4"/>
      <c r="D54" s="4"/>
      <c r="E54" s="4"/>
      <c r="F54" s="13"/>
    </row>
    <row r="55" spans="2:6">
      <c r="B55" s="34"/>
      <c r="C55" s="4"/>
      <c r="D55" s="4"/>
      <c r="E55" s="4"/>
      <c r="F55" s="13"/>
    </row>
  </sheetData>
  <phoneticPr fontId="1" type="noConversion"/>
  <dataValidations count="1">
    <dataValidation type="list" allowBlank="1" showInputMessage="1" showErrorMessage="1" sqref="E41 E44">
      <formula1>"varchar,nvarchar,char,nchar,int,tinyint,smallint,float,decimal,datetime"</formula1>
    </dataValidation>
  </dataValidations>
  <hyperlinks>
    <hyperlink ref="A1" location="数据表索引!A1" display="返回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封面</vt:lpstr>
      <vt:lpstr>备忘录</vt:lpstr>
      <vt:lpstr>数据表索引</vt:lpstr>
      <vt:lpstr>t_Demo</vt:lpstr>
      <vt:lpstr>t_User</vt:lpstr>
      <vt:lpstr>t_Customer</vt:lpstr>
      <vt:lpstr>t_Project</vt:lpstr>
      <vt:lpstr>t_Order</vt:lpstr>
      <vt:lpstr>t_Fee</vt:lpstr>
      <vt:lpstr>t_BasicInfoType</vt:lpstr>
      <vt:lpstr>t_BasicInfoContent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tianyulong</dc:creator>
  <cp:lastModifiedBy>Administrator</cp:lastModifiedBy>
  <dcterms:created xsi:type="dcterms:W3CDTF">2013-11-05T06:16:29Z</dcterms:created>
  <dcterms:modified xsi:type="dcterms:W3CDTF">2019-03-19T01:01:27Z</dcterms:modified>
</cp:coreProperties>
</file>