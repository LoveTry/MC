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firstSheet="1" activeTab="8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  <sheet name="t_Customer" sheetId="480" r:id="rId6"/>
    <sheet name="t_Project" sheetId="481" r:id="rId7"/>
    <sheet name="t_Order" sheetId="482" r:id="rId8"/>
    <sheet name="t_Fee" sheetId="483" r:id="rId9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45" i="483" l="1"/>
  <c r="B44" i="483"/>
  <c r="B43" i="483"/>
  <c r="B42" i="483"/>
  <c r="B41" i="483"/>
  <c r="B40" i="483"/>
  <c r="B39" i="483"/>
  <c r="B38" i="483"/>
  <c r="B37" i="483"/>
  <c r="B36" i="483"/>
  <c r="B35" i="483"/>
  <c r="B34" i="483"/>
  <c r="B33" i="483"/>
  <c r="B32" i="483"/>
  <c r="B31" i="483"/>
  <c r="B30" i="483"/>
  <c r="B29" i="483"/>
  <c r="B28" i="483"/>
  <c r="B27" i="483"/>
  <c r="B26" i="483"/>
  <c r="B25" i="483"/>
  <c r="B24" i="483"/>
  <c r="B23" i="483"/>
  <c r="B22" i="483"/>
  <c r="B21" i="483"/>
  <c r="B20" i="483"/>
  <c r="B19" i="483"/>
  <c r="B18" i="483"/>
  <c r="B17" i="483"/>
  <c r="B16" i="483"/>
  <c r="B15" i="483"/>
  <c r="B14" i="483"/>
  <c r="B13" i="483"/>
  <c r="B11" i="483"/>
  <c r="B10" i="483"/>
  <c r="B9" i="483"/>
  <c r="B8" i="483"/>
  <c r="B7" i="483"/>
  <c r="B6" i="483"/>
  <c r="B5" i="483"/>
  <c r="E8" i="4"/>
  <c r="B49" i="482"/>
  <c r="B48" i="482"/>
  <c r="B47" i="482"/>
  <c r="B46" i="482"/>
  <c r="B45" i="482"/>
  <c r="B44" i="482"/>
  <c r="B43" i="482"/>
  <c r="B42" i="482"/>
  <c r="B41" i="482"/>
  <c r="B40" i="482"/>
  <c r="B39" i="482"/>
  <c r="B38" i="482"/>
  <c r="B37" i="482"/>
  <c r="B36" i="482"/>
  <c r="B35" i="482"/>
  <c r="B34" i="482"/>
  <c r="B33" i="482"/>
  <c r="B32" i="482"/>
  <c r="B31" i="482"/>
  <c r="B30" i="482"/>
  <c r="B29" i="482"/>
  <c r="B28" i="482"/>
  <c r="B27" i="482"/>
  <c r="B26" i="482"/>
  <c r="B25" i="482"/>
  <c r="B24" i="482"/>
  <c r="B23" i="482"/>
  <c r="B22" i="482"/>
  <c r="B21" i="482"/>
  <c r="B20" i="482"/>
  <c r="B19" i="482"/>
  <c r="B18" i="482"/>
  <c r="B17" i="482"/>
  <c r="B16" i="482"/>
  <c r="B15" i="482"/>
  <c r="B14" i="482"/>
  <c r="B13" i="482"/>
  <c r="B12" i="482"/>
  <c r="B8" i="482"/>
  <c r="B5" i="482"/>
  <c r="E7" i="4"/>
  <c r="B18" i="481"/>
  <c r="B6" i="481"/>
  <c r="B7" i="481"/>
  <c r="B8" i="481"/>
  <c r="B9" i="481"/>
  <c r="B10" i="481"/>
  <c r="B11" i="481"/>
  <c r="B45" i="481"/>
  <c r="B44" i="481"/>
  <c r="B43" i="481"/>
  <c r="B42" i="481"/>
  <c r="B41" i="481"/>
  <c r="B40" i="481"/>
  <c r="B39" i="481"/>
  <c r="B38" i="481"/>
  <c r="B37" i="481"/>
  <c r="B36" i="481"/>
  <c r="B35" i="481"/>
  <c r="B34" i="481"/>
  <c r="B33" i="481"/>
  <c r="B32" i="481"/>
  <c r="B31" i="481"/>
  <c r="B30" i="481"/>
  <c r="B29" i="481"/>
  <c r="B28" i="481"/>
  <c r="B27" i="481"/>
  <c r="B26" i="481"/>
  <c r="B25" i="481"/>
  <c r="B24" i="481"/>
  <c r="B23" i="481"/>
  <c r="B22" i="481"/>
  <c r="B21" i="481"/>
  <c r="B20" i="481"/>
  <c r="B19" i="481"/>
  <c r="B17" i="481"/>
  <c r="B16" i="481"/>
  <c r="B15" i="481"/>
  <c r="B14" i="481"/>
  <c r="B13" i="481"/>
  <c r="B12" i="481"/>
  <c r="B5" i="481"/>
  <c r="E6" i="4"/>
  <c r="B11" i="480" l="1"/>
  <c r="B10" i="480"/>
  <c r="B45" i="480"/>
  <c r="B44" i="480"/>
  <c r="B43" i="480"/>
  <c r="B42" i="480"/>
  <c r="B41" i="480"/>
  <c r="B40" i="480"/>
  <c r="B39" i="480"/>
  <c r="B38" i="480"/>
  <c r="B37" i="480"/>
  <c r="B36" i="480"/>
  <c r="B35" i="480"/>
  <c r="B34" i="480"/>
  <c r="B33" i="480"/>
  <c r="B32" i="480"/>
  <c r="B31" i="480"/>
  <c r="B30" i="480"/>
  <c r="B29" i="480"/>
  <c r="B28" i="480"/>
  <c r="B27" i="480"/>
  <c r="B26" i="480"/>
  <c r="B25" i="480"/>
  <c r="B24" i="480"/>
  <c r="B23" i="480"/>
  <c r="B22" i="480"/>
  <c r="B21" i="480"/>
  <c r="B20" i="480"/>
  <c r="B19" i="480"/>
  <c r="B18" i="480"/>
  <c r="B17" i="480"/>
  <c r="B16" i="480"/>
  <c r="B15" i="480"/>
  <c r="B14" i="480"/>
  <c r="B13" i="480"/>
  <c r="B12" i="480"/>
  <c r="B9" i="480"/>
  <c r="B8" i="480"/>
  <c r="B7" i="480"/>
  <c r="B6" i="480"/>
  <c r="B5" i="480"/>
  <c r="E5" i="4"/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<sst xmlns="http://schemas.openxmlformats.org/spreadsheetml/2006/main" count="329" uniqueCount="144">
  <si>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</si>
  <si>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</si>
  <si>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</si>
  <si>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</si>
  <si>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</si>
  <si>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</si>
  <si>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</si>
  <si>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</si>
  <si>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</si>
  <si>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</si>
  <si>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</si>
  <si>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创建</t>
  </si>
  <si>
    <t>V1.0</t>
  </si>
  <si>
    <t>列名</t>
  </si>
  <si>
    <t>中文名称</t>
  </si>
  <si>
    <t>类型</t>
  </si>
  <si>
    <t>select name from sysobjects where xtype='U'  ORDER BY name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</si>
  <si>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</si>
  <si>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</si>
  <si>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</si>
  <si>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</si>
  <si>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田予龙</t>
    <phoneticPr fontId="1" type="noConversion"/>
  </si>
  <si>
    <r>
      <t xml:space="preserve">盛鸿供应链管理系统 V3.0
数据库设计文档
</t>
    </r>
    <r>
      <rPr>
        <sz val="12"/>
        <color indexed="8"/>
        <rFont val="宋体"/>
        <family val="3"/>
        <charset val="134"/>
      </rPr>
      <t>盛鸿软件（大连）有限公司</t>
    </r>
    <phoneticPr fontId="9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</si>
  <si>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</si>
  <si>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</si>
  <si>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</si>
  <si>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</si>
  <si>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</si>
  <si>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</si>
  <si>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</si>
  <si>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</si>
  <si>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</si>
  <si>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</si>
  <si>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</si>
  <si>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</si>
  <si>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</si>
  <si>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</si>
  <si>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</si>
  <si>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</si>
  <si>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</si>
  <si>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</si>
  <si>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</si>
  <si>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</si>
  <si>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</si>
  <si>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</si>
  <si>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</si>
  <si>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</si>
  <si>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</si>
  <si>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</si>
  <si>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</si>
  <si>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</si>
  <si>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</si>
  <si>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</si>
  <si>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</si>
  <si>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</si>
  <si>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</si>
  <si>
    <t>t_Customer</t>
    <phoneticPr fontId="1" type="noConversion"/>
  </si>
  <si>
    <t>推荐客户表</t>
  </si>
  <si>
    <t>推荐客户表</t>
    <phoneticPr fontId="1" type="noConversion"/>
  </si>
  <si>
    <t>客户名称</t>
    <phoneticPr fontId="1" type="noConversion"/>
  </si>
  <si>
    <t>客户电话</t>
    <phoneticPr fontId="1" type="noConversion"/>
  </si>
  <si>
    <t>性别</t>
    <phoneticPr fontId="1" type="noConversion"/>
  </si>
  <si>
    <t>描述</t>
    <phoneticPr fontId="1" type="noConversion"/>
  </si>
  <si>
    <t>创建人</t>
    <phoneticPr fontId="1" type="noConversion"/>
  </si>
  <si>
    <t>创建ID</t>
    <phoneticPr fontId="1" type="noConversion"/>
  </si>
  <si>
    <t>更新时间</t>
    <phoneticPr fontId="1" type="noConversion"/>
  </si>
  <si>
    <t>UpTime</t>
    <phoneticPr fontId="1" type="noConversion"/>
  </si>
  <si>
    <t>CusName</t>
    <phoneticPr fontId="1" type="noConversion"/>
  </si>
  <si>
    <t>CusPhone</t>
    <phoneticPr fontId="1" type="noConversion"/>
  </si>
  <si>
    <t>Sex</t>
    <phoneticPr fontId="1" type="noConversion"/>
  </si>
  <si>
    <t>Remark</t>
    <phoneticPr fontId="1" type="noConversion"/>
  </si>
  <si>
    <t>CrUserID</t>
    <phoneticPr fontId="1" type="noConversion"/>
  </si>
  <si>
    <t>CrUser</t>
    <phoneticPr fontId="1" type="noConversion"/>
  </si>
  <si>
    <t>VARCHAR(20)</t>
    <phoneticPr fontId="1" type="noConversion"/>
  </si>
  <si>
    <t>VARCHAR(500)</t>
    <phoneticPr fontId="1" type="noConversion"/>
  </si>
  <si>
    <t>t_Customer</t>
    <phoneticPr fontId="1" type="noConversion"/>
  </si>
  <si>
    <t>t_Project</t>
    <phoneticPr fontId="1" type="noConversion"/>
  </si>
  <si>
    <t>推荐产品表</t>
  </si>
  <si>
    <t>Name</t>
    <phoneticPr fontId="1" type="noConversion"/>
  </si>
  <si>
    <t>Description</t>
    <phoneticPr fontId="1" type="noConversion"/>
  </si>
  <si>
    <t>Price</t>
    <phoneticPr fontId="1" type="noConversion"/>
  </si>
  <si>
    <t>Total</t>
    <phoneticPr fontId="1" type="noConversion"/>
  </si>
  <si>
    <t>Unit</t>
    <phoneticPr fontId="1" type="noConversion"/>
  </si>
  <si>
    <t>StartDate</t>
    <phoneticPr fontId="1" type="noConversion"/>
  </si>
  <si>
    <t>EndDate</t>
    <phoneticPr fontId="1" type="noConversion"/>
  </si>
  <si>
    <t>DisCount</t>
    <phoneticPr fontId="1" type="noConversion"/>
  </si>
  <si>
    <t>CrUserID</t>
    <phoneticPr fontId="1" type="noConversion"/>
  </si>
  <si>
    <t>UpUser</t>
    <phoneticPr fontId="1" type="noConversion"/>
  </si>
  <si>
    <t>更新人</t>
    <phoneticPr fontId="1" type="noConversion"/>
  </si>
  <si>
    <t>VARCHAR(100)</t>
    <phoneticPr fontId="1" type="noConversion"/>
  </si>
  <si>
    <t>money</t>
    <phoneticPr fontId="1" type="noConversion"/>
  </si>
  <si>
    <t>int</t>
    <phoneticPr fontId="1" type="noConversion"/>
  </si>
  <si>
    <t>VARCHAR(20)</t>
    <phoneticPr fontId="1" type="noConversion"/>
  </si>
  <si>
    <t>decimal(3,2)</t>
    <phoneticPr fontId="1" type="noConversion"/>
  </si>
  <si>
    <t>产品名称</t>
    <phoneticPr fontId="1" type="noConversion"/>
  </si>
  <si>
    <t>产品描述</t>
    <phoneticPr fontId="1" type="noConversion"/>
  </si>
  <si>
    <t>单价</t>
    <phoneticPr fontId="1" type="noConversion"/>
  </si>
  <si>
    <t>数量</t>
    <phoneticPr fontId="1" type="noConversion"/>
  </si>
  <si>
    <t>总价</t>
    <phoneticPr fontId="1" type="noConversion"/>
  </si>
  <si>
    <t>单位</t>
    <phoneticPr fontId="1" type="noConversion"/>
  </si>
  <si>
    <t>有效期始</t>
    <phoneticPr fontId="1" type="noConversion"/>
  </si>
  <si>
    <t>有效期至</t>
    <phoneticPr fontId="1" type="noConversion"/>
  </si>
  <si>
    <t>折扣</t>
    <phoneticPr fontId="1" type="noConversion"/>
  </si>
  <si>
    <t>t_Project</t>
    <phoneticPr fontId="1" type="noConversion"/>
  </si>
  <si>
    <t>Amount</t>
    <phoneticPr fontId="1" type="noConversion"/>
  </si>
  <si>
    <t>产品表</t>
    <phoneticPr fontId="1" type="noConversion"/>
  </si>
  <si>
    <t>推荐表</t>
  </si>
  <si>
    <t>推荐表</t>
    <phoneticPr fontId="1" type="noConversion"/>
  </si>
  <si>
    <t>产品ID</t>
    <phoneticPr fontId="1" type="noConversion"/>
  </si>
  <si>
    <t>推荐人ID</t>
    <phoneticPr fontId="1" type="noConversion"/>
  </si>
  <si>
    <t>推荐时间</t>
    <phoneticPr fontId="1" type="noConversion"/>
  </si>
  <si>
    <t>当前状态</t>
    <phoneticPr fontId="1" type="noConversion"/>
  </si>
  <si>
    <t>状态信息</t>
    <phoneticPr fontId="1" type="noConversion"/>
  </si>
  <si>
    <t>产品价格</t>
    <phoneticPr fontId="1" type="noConversion"/>
  </si>
  <si>
    <t>客户ID</t>
    <phoneticPr fontId="1" type="noConversion"/>
  </si>
  <si>
    <t>uniqueidentifier</t>
  </si>
  <si>
    <t>uniqueidentifier</t>
    <phoneticPr fontId="1" type="noConversion"/>
  </si>
  <si>
    <t>流水号</t>
    <phoneticPr fontId="1" type="noConversion"/>
  </si>
  <si>
    <t>t_Order</t>
    <phoneticPr fontId="1" type="noConversion"/>
  </si>
  <si>
    <t>t_Order</t>
    <phoneticPr fontId="1" type="noConversion"/>
  </si>
  <si>
    <t>VARCHAR(200)</t>
    <phoneticPr fontId="1" type="noConversion"/>
  </si>
  <si>
    <t>OrderNo</t>
    <phoneticPr fontId="1" type="noConversion"/>
  </si>
  <si>
    <t>CusID</t>
    <phoneticPr fontId="1" type="noConversion"/>
  </si>
  <si>
    <t>ProID</t>
    <phoneticPr fontId="1" type="noConversion"/>
  </si>
  <si>
    <t>ProMoney</t>
    <phoneticPr fontId="1" type="noConversion"/>
  </si>
  <si>
    <t>State</t>
    <phoneticPr fontId="1" type="noConversion"/>
  </si>
  <si>
    <t>StateInfo</t>
    <phoneticPr fontId="1" type="noConversion"/>
  </si>
  <si>
    <t>CrTime</t>
    <phoneticPr fontId="1" type="noConversion"/>
  </si>
  <si>
    <t>t_Fee</t>
  </si>
  <si>
    <t>t_Fee</t>
    <phoneticPr fontId="1" type="noConversion"/>
  </si>
  <si>
    <t>佣金表</t>
  </si>
  <si>
    <t>佣金表</t>
    <phoneticPr fontId="1" type="noConversion"/>
  </si>
  <si>
    <t>订单ID</t>
    <phoneticPr fontId="1" type="noConversion"/>
  </si>
  <si>
    <t>佣金金额</t>
    <phoneticPr fontId="1" type="noConversion"/>
  </si>
  <si>
    <t>是否已支付</t>
    <phoneticPr fontId="1" type="noConversion"/>
  </si>
  <si>
    <t>创建人ID</t>
    <phoneticPr fontId="1" type="noConversion"/>
  </si>
  <si>
    <t>创建人</t>
    <phoneticPr fontId="1" type="noConversion"/>
  </si>
  <si>
    <t>审核人ID</t>
    <phoneticPr fontId="1" type="noConversion"/>
  </si>
  <si>
    <t>审核人</t>
    <phoneticPr fontId="1" type="noConversion"/>
  </si>
  <si>
    <t>创建时间</t>
    <phoneticPr fontId="1" type="noConversion"/>
  </si>
  <si>
    <t>OrderID</t>
    <phoneticPr fontId="1" type="noConversion"/>
  </si>
  <si>
    <t>Money</t>
    <phoneticPr fontId="1" type="noConversion"/>
  </si>
  <si>
    <t>IsPay</t>
    <phoneticPr fontId="1" type="noConversion"/>
  </si>
  <si>
    <t>PayeeID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</si>
</sst>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7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6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20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3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4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20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1" fillId="0" borderId="1" xfId="0" applyFont="1" applyFill="1" applyBorder="1">
      <alignment vertical="center"/>
    </xf>
    <xf numFmtId="0" fontId="22" fillId="0" borderId="0" xfId="0" applyFont="1" applyFill="1" applyBorder="1">
      <alignment vertical="center"/>
    </xf>
    <xf numFmtId="0" fontId="23" fillId="0" borderId="0" xfId="0" applyFont="1" applyFill="1">
      <alignment vertical="center"/>
    </xf>
    <xf numFmtId="0" fontId="23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5" fillId="0" borderId="4" xfId="0" applyFont="1" applyFill="1" applyBorder="1">
      <alignment vertical="center"/>
    </xf>
    <xf numFmtId="0" fontId="23" fillId="0" borderId="4" xfId="0" applyFont="1" applyFill="1" applyBorder="1">
      <alignment vertical="center"/>
    </xf>
    <xf numFmtId="0" fontId="4" fillId="0" borderId="1" xfId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3"/>
  <sheetViews>
    <sheetView workbookViewId="0">
      <selection activeCell="D20" sqref="D20"/>
    </sheetView>
  </sheetViews>
  <sheetFormatPr defaultRowHeight="13.5"/>
  <cols>
    <col min="3" max="6" width="18.625" customWidth="1"/>
  </cols>
  <sheetData>
    <row r="6" spans="3:6" ht="13.5" customHeight="1">
      <c r="C6" s="47" t="s">
        <v>22</v>
      </c>
      <c r="D6" s="48"/>
      <c r="E6" s="48"/>
      <c r="F6" s="48"/>
    </row>
    <row r="7" spans="3:6" ht="13.5" customHeight="1">
      <c r="C7" s="48"/>
      <c r="D7" s="48"/>
      <c r="E7" s="48"/>
      <c r="F7" s="48"/>
    </row>
    <row r="8" spans="3:6" ht="13.5" customHeight="1">
      <c r="C8" s="48"/>
      <c r="D8" s="48"/>
      <c r="E8" s="48"/>
      <c r="F8" s="48"/>
    </row>
    <row r="9" spans="3:6" ht="13.5" customHeight="1">
      <c r="C9" s="48"/>
      <c r="D9" s="48"/>
      <c r="E9" s="48"/>
      <c r="F9" s="48"/>
    </row>
    <row r="10" spans="3:6" ht="13.5" customHeight="1">
      <c r="C10" s="48"/>
      <c r="D10" s="48"/>
      <c r="E10" s="48"/>
      <c r="F10" s="48"/>
    </row>
    <row r="11" spans="3:6" ht="13.5" customHeight="1">
      <c r="C11" s="48"/>
      <c r="D11" s="48"/>
      <c r="E11" s="48"/>
      <c r="F11" s="48"/>
    </row>
    <row r="12" spans="3:6" ht="13.5" customHeight="1">
      <c r="C12" s="48"/>
      <c r="D12" s="48"/>
      <c r="E12" s="48"/>
      <c r="F12" s="48"/>
    </row>
    <row r="13" spans="3:6" ht="13.5" customHeight="1">
      <c r="C13" s="48"/>
      <c r="D13" s="48"/>
      <c r="E13" s="48"/>
      <c r="F13" s="48"/>
    </row>
    <row r="14" spans="3:6">
      <c r="C14" s="1" t="s">
        <v>6</v>
      </c>
      <c r="D14" s="25" t="s">
        <v>21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>
        <v>43118</v>
      </c>
      <c r="D17" s="25" t="s">
        <v>21</v>
      </c>
      <c r="E17" s="3" t="s">
        <v>11</v>
      </c>
      <c r="F17" s="3" t="s">
        <v>12</v>
      </c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  <row r="23" spans="3:6">
      <c r="C23" t="s">
        <v>16</v>
      </c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zoomScaleNormal="100" workbookViewId="0">
      <pane ySplit="3" topLeftCell="A4" activePane="bottomLeft" state="frozen"/>
      <selection activeCell="B1" sqref="B1"/>
      <selection pane="bottomLeft" activeCell="F8" sqref="F8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17</v>
      </c>
    </row>
    <row r="2" spans="1:7" ht="22.5">
      <c r="B2" s="49" t="s">
        <v>0</v>
      </c>
      <c r="C2" s="50"/>
      <c r="D2" s="50"/>
      <c r="E2" s="50"/>
      <c r="F2" s="50"/>
      <c r="G2" s="51"/>
    </row>
    <row r="3" spans="1:7">
      <c r="B3" s="33" t="s">
        <v>1</v>
      </c>
      <c r="C3" s="33" t="s">
        <v>18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19</v>
      </c>
      <c r="B4" s="21">
        <v>1</v>
      </c>
      <c r="C4" s="21"/>
      <c r="D4" s="4" t="s">
        <v>33</v>
      </c>
      <c r="E4" s="46" t="str">
        <f>HYPERLINK("#"&amp;D4&amp;"!A1","链接")</f>
        <v>链接</v>
      </c>
      <c r="F4" s="4" t="s">
        <v>31</v>
      </c>
      <c r="G4" s="38"/>
    </row>
    <row r="5" spans="1:7">
      <c r="A5" s="15" t="s">
        <v>19</v>
      </c>
      <c r="B5" s="21">
        <v>2</v>
      </c>
      <c r="C5" s="21"/>
      <c r="D5" s="4" t="s">
        <v>56</v>
      </c>
      <c r="E5" s="46" t="str">
        <f>HYPERLINK("#"&amp;D5&amp;"!A1","链接")</f>
        <v>链接</v>
      </c>
      <c r="F5" s="4" t="s">
        <v>58</v>
      </c>
      <c r="G5" s="38"/>
    </row>
    <row r="6" spans="1:7">
      <c r="A6" s="15" t="s">
        <v>19</v>
      </c>
      <c r="B6" s="21">
        <v>3</v>
      </c>
      <c r="C6" s="21"/>
      <c r="D6" s="4" t="s">
        <v>76</v>
      </c>
      <c r="E6" s="46" t="str">
        <f>HYPERLINK("#"&amp;D6&amp;"!A1","链接")</f>
        <v>链接</v>
      </c>
      <c r="F6" s="4" t="s">
        <v>105</v>
      </c>
      <c r="G6" s="38"/>
    </row>
    <row r="7" spans="1:7">
      <c r="A7" s="15" t="s">
        <v>19</v>
      </c>
      <c r="B7" s="21">
        <v>4</v>
      </c>
      <c r="C7" s="21"/>
      <c r="D7" s="4" t="s">
        <v>118</v>
      </c>
      <c r="E7" s="46" t="str">
        <f>HYPERLINK("#"&amp;D7&amp;"!A1","链接")</f>
        <v>链接</v>
      </c>
      <c r="F7" s="4" t="s">
        <v>107</v>
      </c>
      <c r="G7" s="38"/>
    </row>
    <row r="8" spans="1:7">
      <c r="A8" s="15" t="s">
        <v>19</v>
      </c>
      <c r="B8" s="21">
        <v>5</v>
      </c>
      <c r="C8" s="21"/>
      <c r="D8" s="4" t="s">
        <v>129</v>
      </c>
      <c r="E8" s="46" t="str">
        <f>HYPERLINK("#"&amp;D8&amp;"!A1","链接")</f>
        <v>链接</v>
      </c>
      <c r="F8" s="4" t="s">
        <v>131</v>
      </c>
      <c r="G8" s="4"/>
    </row>
    <row r="9" spans="1:7">
      <c r="A9" s="15" t="s">
        <v>19</v>
      </c>
      <c r="B9" s="21"/>
      <c r="C9" s="21"/>
      <c r="D9" s="4"/>
      <c r="E9" s="22"/>
      <c r="F9" s="4"/>
      <c r="G9" s="38"/>
    </row>
    <row r="10" spans="1:7">
      <c r="A10" s="15" t="s">
        <v>19</v>
      </c>
      <c r="B10" s="21"/>
      <c r="C10" s="21"/>
      <c r="D10" s="4"/>
      <c r="E10" s="22"/>
      <c r="F10" s="4"/>
      <c r="G10" s="38"/>
    </row>
    <row r="11" spans="1:7">
      <c r="A11" s="15" t="s">
        <v>19</v>
      </c>
      <c r="B11" s="21"/>
      <c r="C11" s="21"/>
      <c r="D11" s="4"/>
      <c r="E11" s="22"/>
      <c r="F11" s="4"/>
      <c r="G11" s="38"/>
    </row>
    <row r="12" spans="1:7">
      <c r="A12" s="15" t="s">
        <v>19</v>
      </c>
      <c r="B12" s="21"/>
      <c r="C12" s="21"/>
      <c r="D12" s="4"/>
      <c r="E12" s="22"/>
      <c r="F12" s="4"/>
      <c r="G12" s="38"/>
    </row>
    <row r="13" spans="1:7">
      <c r="A13" s="15" t="s">
        <v>19</v>
      </c>
      <c r="B13" s="21"/>
      <c r="C13" s="21"/>
      <c r="D13" s="4"/>
      <c r="E13" s="22"/>
      <c r="F13" s="4"/>
      <c r="G13" s="38"/>
    </row>
    <row r="14" spans="1:7">
      <c r="A14" s="15" t="s">
        <v>19</v>
      </c>
      <c r="B14" s="21"/>
      <c r="C14" s="21"/>
      <c r="D14" s="4"/>
      <c r="E14" s="22"/>
      <c r="F14" s="4"/>
      <c r="G14" s="38"/>
    </row>
    <row r="15" spans="1:7">
      <c r="A15" s="15" t="s">
        <v>19</v>
      </c>
      <c r="B15" s="21"/>
      <c r="C15" s="21"/>
      <c r="D15" s="4"/>
      <c r="E15" s="22"/>
      <c r="F15" s="4"/>
      <c r="G15" s="38"/>
    </row>
    <row r="16" spans="1:7">
      <c r="A16" s="15" t="s">
        <v>19</v>
      </c>
      <c r="B16" s="21"/>
      <c r="C16" s="21"/>
      <c r="D16" s="4"/>
      <c r="E16" s="22"/>
      <c r="F16" s="4"/>
      <c r="G16" s="4"/>
    </row>
    <row r="17" spans="1:7">
      <c r="A17" s="15" t="s">
        <v>19</v>
      </c>
      <c r="B17" s="21"/>
      <c r="C17" s="21"/>
      <c r="D17" s="4"/>
      <c r="E17" s="22"/>
      <c r="F17" s="4"/>
      <c r="G17" s="38"/>
    </row>
    <row r="18" spans="1:7">
      <c r="A18" s="15" t="s">
        <v>19</v>
      </c>
      <c r="B18" s="21"/>
      <c r="C18" s="21"/>
      <c r="D18" s="4"/>
      <c r="E18" s="22"/>
      <c r="F18" s="4"/>
      <c r="G18" s="38"/>
    </row>
    <row r="19" spans="1:7">
      <c r="A19" s="15" t="s">
        <v>19</v>
      </c>
      <c r="B19" s="21"/>
      <c r="C19" s="21"/>
      <c r="D19" s="4"/>
      <c r="E19" s="22"/>
      <c r="F19" s="4"/>
      <c r="G19" s="38"/>
    </row>
    <row r="20" spans="1:7">
      <c r="A20" s="15" t="s">
        <v>19</v>
      </c>
      <c r="B20" s="21"/>
      <c r="C20" s="21"/>
      <c r="D20" s="4"/>
      <c r="E20" s="22"/>
      <c r="F20" s="4"/>
      <c r="G20" s="38"/>
    </row>
    <row r="21" spans="1:7">
      <c r="A21" s="15" t="s">
        <v>19</v>
      </c>
      <c r="B21" s="21"/>
      <c r="C21" s="21"/>
      <c r="D21" s="4"/>
      <c r="E21" s="22"/>
      <c r="F21" s="4"/>
      <c r="G21" s="38"/>
    </row>
    <row r="22" spans="1:7">
      <c r="A22" s="15" t="s">
        <v>19</v>
      </c>
      <c r="B22" s="21"/>
      <c r="C22" s="21"/>
      <c r="D22" s="4"/>
      <c r="E22" s="22"/>
      <c r="F22" s="4"/>
      <c r="G22" s="38"/>
    </row>
    <row r="23" spans="1:7">
      <c r="A23" s="15" t="s">
        <v>19</v>
      </c>
      <c r="B23" s="21"/>
      <c r="C23" s="21"/>
      <c r="D23" s="4"/>
      <c r="E23" s="22"/>
      <c r="F23" s="4"/>
      <c r="G23" s="38"/>
    </row>
    <row r="24" spans="1:7">
      <c r="A24" s="15" t="s">
        <v>19</v>
      </c>
      <c r="B24" s="21"/>
      <c r="C24" s="21"/>
      <c r="D24" s="4"/>
      <c r="E24" s="22"/>
      <c r="F24" s="4"/>
      <c r="G24" s="38"/>
    </row>
    <row r="25" spans="1:7">
      <c r="A25" s="15" t="s">
        <v>19</v>
      </c>
      <c r="B25" s="21"/>
      <c r="C25" s="21"/>
      <c r="D25" s="4"/>
      <c r="E25" s="22"/>
      <c r="F25" s="4"/>
      <c r="G25" s="38"/>
    </row>
    <row r="26" spans="1:7">
      <c r="A26" s="15" t="s">
        <v>19</v>
      </c>
      <c r="B26" s="21"/>
      <c r="C26" s="21"/>
      <c r="D26" s="4"/>
      <c r="E26" s="22"/>
      <c r="F26" s="4"/>
      <c r="G26" s="38"/>
    </row>
    <row r="27" spans="1:7">
      <c r="A27" s="15" t="s">
        <v>19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19</v>
      </c>
      <c r="B37" s="21"/>
      <c r="C37" s="21"/>
      <c r="D37" s="27"/>
      <c r="E37" s="29"/>
      <c r="F37" s="27"/>
      <c r="G37" s="4"/>
    </row>
    <row r="38" spans="1:7">
      <c r="A38" s="15" t="s">
        <v>19</v>
      </c>
      <c r="B38" s="21"/>
      <c r="C38" s="21"/>
      <c r="D38" s="27"/>
      <c r="E38" s="29"/>
      <c r="F38" s="27"/>
      <c r="G38" s="38"/>
    </row>
    <row r="39" spans="1:7">
      <c r="A39" s="15" t="s">
        <v>19</v>
      </c>
      <c r="B39" s="21"/>
      <c r="C39" s="21"/>
      <c r="D39" s="4"/>
      <c r="E39" s="22"/>
      <c r="F39" s="4"/>
      <c r="G39" s="4"/>
    </row>
    <row r="40" spans="1:7">
      <c r="A40" s="15" t="s">
        <v>19</v>
      </c>
      <c r="B40" s="21"/>
      <c r="C40" s="21"/>
      <c r="D40" s="4"/>
      <c r="E40" s="22"/>
      <c r="F40" s="4"/>
      <c r="G40" s="4"/>
    </row>
    <row r="41" spans="1:7">
      <c r="A41" s="15" t="s">
        <v>19</v>
      </c>
      <c r="B41" s="21"/>
      <c r="C41" s="21"/>
      <c r="D41" s="4"/>
      <c r="E41" s="22"/>
      <c r="F41" s="4"/>
      <c r="G41" s="4"/>
    </row>
    <row r="42" spans="1:7">
      <c r="A42" s="15" t="s">
        <v>19</v>
      </c>
      <c r="B42" s="21"/>
      <c r="C42" s="21"/>
      <c r="D42" s="4"/>
      <c r="E42" s="22"/>
      <c r="F42" s="4"/>
      <c r="G42" s="4"/>
    </row>
    <row r="43" spans="1:7">
      <c r="A43" s="15" t="s">
        <v>19</v>
      </c>
      <c r="B43" s="21"/>
      <c r="C43" s="21"/>
      <c r="D43" s="4"/>
      <c r="E43" s="22"/>
      <c r="F43" s="4"/>
      <c r="G43" s="4"/>
    </row>
    <row r="44" spans="1:7">
      <c r="A44" s="15" t="s">
        <v>19</v>
      </c>
      <c r="B44" s="21"/>
      <c r="C44" s="21"/>
      <c r="D44" s="4"/>
      <c r="E44" s="22"/>
      <c r="F44" s="4"/>
      <c r="G44" s="4"/>
    </row>
    <row r="45" spans="1:7">
      <c r="A45" s="15" t="s">
        <v>19</v>
      </c>
      <c r="B45" s="21"/>
      <c r="C45" s="21"/>
      <c r="D45" s="4"/>
      <c r="E45" s="22"/>
      <c r="F45" s="4"/>
      <c r="G45" s="4"/>
    </row>
    <row r="46" spans="1:7">
      <c r="A46" s="15" t="s">
        <v>19</v>
      </c>
      <c r="B46" s="21"/>
      <c r="C46" s="21"/>
      <c r="D46" s="4"/>
      <c r="E46" s="22"/>
      <c r="F46" s="4"/>
      <c r="G46" s="4"/>
    </row>
    <row r="47" spans="1:7">
      <c r="A47" s="15" t="s">
        <v>19</v>
      </c>
      <c r="B47" s="21"/>
      <c r="C47" s="21"/>
      <c r="D47" s="4"/>
      <c r="E47" s="22"/>
      <c r="F47" s="4"/>
      <c r="G47" s="4"/>
    </row>
    <row r="48" spans="1:7">
      <c r="A48" s="15" t="s">
        <v>19</v>
      </c>
      <c r="B48" s="21"/>
      <c r="C48" s="21"/>
      <c r="D48" s="18"/>
      <c r="E48" s="22"/>
      <c r="F48" s="18"/>
      <c r="G48" s="4"/>
    </row>
    <row r="49" spans="1:7">
      <c r="A49" s="15" t="s">
        <v>19</v>
      </c>
      <c r="B49" s="21"/>
      <c r="C49" s="21"/>
      <c r="D49" s="18"/>
      <c r="E49" s="30"/>
      <c r="F49" s="18"/>
      <c r="G49" s="4"/>
    </row>
    <row r="50" spans="1:7">
      <c r="A50" s="15" t="s">
        <v>19</v>
      </c>
      <c r="B50" s="21"/>
      <c r="C50" s="21"/>
      <c r="D50" s="4"/>
      <c r="E50" s="22"/>
      <c r="F50" s="4"/>
      <c r="G50" s="4"/>
    </row>
    <row r="51" spans="1:7">
      <c r="A51" s="15" t="s">
        <v>19</v>
      </c>
      <c r="B51" s="21"/>
      <c r="C51" s="21"/>
      <c r="D51" s="4"/>
      <c r="E51" s="22"/>
      <c r="F51" s="4"/>
      <c r="G51" s="4"/>
    </row>
    <row r="52" spans="1:7">
      <c r="A52" s="15" t="s">
        <v>19</v>
      </c>
      <c r="B52" s="21"/>
      <c r="C52" s="21"/>
      <c r="D52" s="4"/>
      <c r="E52" s="22"/>
      <c r="F52" s="4"/>
      <c r="G52" s="4"/>
    </row>
    <row r="53" spans="1:7">
      <c r="A53" s="15" t="s">
        <v>19</v>
      </c>
      <c r="B53" s="21"/>
      <c r="C53" s="21"/>
      <c r="D53" s="4"/>
      <c r="E53" s="22"/>
      <c r="F53" s="4"/>
      <c r="G53" s="4"/>
    </row>
    <row r="54" spans="1:7">
      <c r="A54" s="15" t="s">
        <v>19</v>
      </c>
      <c r="B54" s="21"/>
      <c r="C54" s="21"/>
      <c r="D54" s="4"/>
      <c r="E54" s="22"/>
      <c r="F54" s="4"/>
      <c r="G54" s="4"/>
    </row>
    <row r="55" spans="1:7">
      <c r="A55" s="15" t="s">
        <v>19</v>
      </c>
      <c r="B55" s="21"/>
      <c r="C55" s="21"/>
      <c r="D55" s="4"/>
      <c r="E55" s="22"/>
      <c r="F55" s="4"/>
      <c r="G55" s="4"/>
    </row>
    <row r="56" spans="1:7">
      <c r="A56" s="15" t="s">
        <v>19</v>
      </c>
      <c r="B56" s="21"/>
      <c r="C56" s="21"/>
      <c r="D56" s="4"/>
      <c r="E56" s="22"/>
      <c r="F56" s="28"/>
      <c r="G56" s="4"/>
    </row>
    <row r="57" spans="1:7">
      <c r="A57" s="15" t="s">
        <v>19</v>
      </c>
      <c r="B57" s="21"/>
      <c r="C57" s="21"/>
      <c r="D57" s="4"/>
      <c r="E57" s="22"/>
      <c r="F57" s="28"/>
      <c r="G57" s="4"/>
    </row>
    <row r="58" spans="1:7">
      <c r="A58" s="15" t="s">
        <v>19</v>
      </c>
      <c r="B58" s="21"/>
      <c r="C58" s="21"/>
      <c r="D58" s="4"/>
      <c r="E58" s="22"/>
      <c r="F58" s="28"/>
      <c r="G58" s="4"/>
    </row>
    <row r="59" spans="1:7">
      <c r="A59" s="15" t="s">
        <v>19</v>
      </c>
      <c r="B59" s="21"/>
      <c r="C59" s="21"/>
      <c r="D59" s="4"/>
      <c r="E59" s="22"/>
      <c r="F59" s="28"/>
      <c r="G59" s="4"/>
    </row>
    <row r="60" spans="1:7">
      <c r="A60" s="15" t="s">
        <v>19</v>
      </c>
      <c r="B60" s="21"/>
      <c r="C60" s="21"/>
      <c r="D60" s="4"/>
      <c r="E60" s="22"/>
      <c r="F60" s="28"/>
      <c r="G60" s="4"/>
    </row>
    <row r="61" spans="1:7">
      <c r="A61" s="15" t="s">
        <v>19</v>
      </c>
      <c r="B61" s="21"/>
      <c r="C61" s="21"/>
      <c r="D61" s="4"/>
      <c r="E61" s="22"/>
      <c r="F61" s="28"/>
      <c r="G61" s="4"/>
    </row>
    <row r="62" spans="1:7">
      <c r="A62" s="15" t="s">
        <v>19</v>
      </c>
      <c r="B62" s="21"/>
      <c r="C62" s="21"/>
      <c r="D62" s="4"/>
      <c r="E62" s="22"/>
      <c r="F62" s="28"/>
      <c r="G62" s="4"/>
    </row>
    <row r="63" spans="1:7">
      <c r="A63" s="15" t="s">
        <v>19</v>
      </c>
      <c r="B63" s="21"/>
      <c r="C63" s="21"/>
      <c r="D63" s="4"/>
      <c r="E63" s="22"/>
      <c r="F63" s="28"/>
      <c r="G63" s="4"/>
    </row>
    <row r="64" spans="1:7">
      <c r="A64" s="15" t="s">
        <v>19</v>
      </c>
      <c r="B64" s="21"/>
      <c r="C64" s="21"/>
      <c r="D64" s="4"/>
      <c r="E64" s="22"/>
      <c r="F64" s="28"/>
      <c r="G64" s="4"/>
    </row>
    <row r="65" spans="1:7">
      <c r="A65" s="15" t="s">
        <v>19</v>
      </c>
      <c r="B65" s="21"/>
      <c r="C65" s="21"/>
      <c r="D65" s="4"/>
      <c r="E65" s="22"/>
      <c r="F65" s="28"/>
      <c r="G65" s="4"/>
    </row>
    <row r="66" spans="1:7">
      <c r="A66" s="15" t="s">
        <v>19</v>
      </c>
      <c r="B66" s="21"/>
      <c r="C66" s="21"/>
      <c r="D66" s="4"/>
      <c r="E66" s="22"/>
      <c r="F66" s="28"/>
      <c r="G66" s="4"/>
    </row>
    <row r="67" spans="1:7">
      <c r="A67" s="15" t="s">
        <v>19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19</v>
      </c>
      <c r="B110" s="21"/>
      <c r="C110" s="21"/>
      <c r="D110" s="4"/>
      <c r="E110" s="22"/>
      <c r="F110" s="4"/>
      <c r="G110" s="38"/>
    </row>
    <row r="111" spans="1:7">
      <c r="A111" s="15" t="s">
        <v>19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19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19</v>
      </c>
      <c r="B117" s="21"/>
      <c r="C117" s="21"/>
      <c r="D117" s="4"/>
      <c r="E117" s="22"/>
      <c r="F117" s="28"/>
      <c r="G117" s="4"/>
    </row>
    <row r="118" spans="1:7">
      <c r="A118" s="15" t="s">
        <v>19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20</v>
      </c>
      <c r="B125" s="21"/>
      <c r="C125" s="21"/>
      <c r="D125" s="4"/>
      <c r="E125" s="22"/>
      <c r="F125" s="28"/>
      <c r="G125" s="4"/>
    </row>
    <row r="126" spans="1:7">
      <c r="A126" s="15" t="s">
        <v>19</v>
      </c>
      <c r="B126" s="21"/>
      <c r="C126" s="21"/>
      <c r="D126" s="4"/>
      <c r="E126" s="22"/>
      <c r="F126" s="28"/>
      <c r="G126" s="4"/>
    </row>
    <row r="127" spans="1:7">
      <c r="A127" s="15" t="s">
        <v>19</v>
      </c>
      <c r="B127" s="21"/>
      <c r="C127" s="21"/>
      <c r="D127" s="4"/>
      <c r="E127" s="22"/>
      <c r="F127" s="28"/>
      <c r="G127" s="4"/>
    </row>
    <row r="128" spans="1:7">
      <c r="A128" s="15" t="s">
        <v>19</v>
      </c>
      <c r="B128" s="21"/>
      <c r="C128" s="21"/>
      <c r="D128" s="4"/>
      <c r="E128" s="22"/>
      <c r="F128" s="28"/>
      <c r="G128" s="4"/>
    </row>
    <row r="129" spans="1:12">
      <c r="A129" s="15" t="s">
        <v>19</v>
      </c>
      <c r="B129" s="21"/>
      <c r="C129" s="21"/>
      <c r="D129" s="4"/>
      <c r="E129" s="22"/>
      <c r="F129" s="28"/>
      <c r="G129" s="4"/>
    </row>
    <row r="130" spans="1:12">
      <c r="A130" s="15" t="s">
        <v>19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19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19</v>
      </c>
      <c r="B142" s="21"/>
      <c r="C142" s="21"/>
      <c r="D142" s="4"/>
      <c r="E142" s="22"/>
      <c r="F142" s="4"/>
      <c r="G142" s="38"/>
    </row>
    <row r="143" spans="1:12">
      <c r="A143" s="15" t="s">
        <v>19</v>
      </c>
      <c r="B143" s="21"/>
      <c r="C143" s="21"/>
      <c r="D143" s="4"/>
      <c r="E143" s="22"/>
      <c r="F143" s="4"/>
      <c r="G143" s="38"/>
    </row>
    <row r="144" spans="1:12">
      <c r="A144" s="15" t="s">
        <v>19</v>
      </c>
      <c r="B144" s="21"/>
      <c r="C144" s="21"/>
      <c r="D144" s="19"/>
      <c r="E144" s="22"/>
      <c r="F144" s="4"/>
      <c r="G144" s="38"/>
    </row>
    <row r="145" spans="1:7">
      <c r="A145" s="15" t="s">
        <v>19</v>
      </c>
      <c r="B145" s="21"/>
      <c r="C145" s="21"/>
      <c r="D145" s="4"/>
      <c r="E145" s="22"/>
      <c r="F145" s="4"/>
      <c r="G145" s="38"/>
    </row>
    <row r="146" spans="1:7">
      <c r="A146" s="15" t="s">
        <v>19</v>
      </c>
      <c r="B146" s="21"/>
      <c r="C146" s="21"/>
      <c r="D146" s="23"/>
      <c r="E146" s="22"/>
      <c r="F146" s="23"/>
      <c r="G146" s="38"/>
    </row>
    <row r="147" spans="1:7">
      <c r="A147" s="15" t="s">
        <v>19</v>
      </c>
      <c r="B147" s="21"/>
      <c r="C147" s="21"/>
      <c r="D147" s="23"/>
      <c r="E147" s="22"/>
      <c r="F147" s="23"/>
      <c r="G147" s="38"/>
    </row>
    <row r="148" spans="1:7">
      <c r="A148" s="15" t="s">
        <v>19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19</v>
      </c>
      <c r="B232" s="21"/>
      <c r="C232" s="21"/>
      <c r="D232" s="4"/>
      <c r="E232" s="22"/>
      <c r="F232" s="4"/>
      <c r="G232" s="38"/>
    </row>
    <row r="233" spans="1:7">
      <c r="A233" s="15" t="s">
        <v>19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19</v>
      </c>
      <c r="B235" s="21"/>
      <c r="C235" s="21"/>
      <c r="D235" s="23"/>
      <c r="E235" s="22"/>
      <c r="F235" s="32"/>
      <c r="G235" s="4"/>
    </row>
    <row r="236" spans="1:7">
      <c r="A236" s="15" t="s">
        <v>19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19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19</v>
      </c>
      <c r="B244" s="21"/>
      <c r="C244" s="21"/>
      <c r="D244" s="4"/>
      <c r="E244" s="22"/>
      <c r="F244" s="28"/>
      <c r="G244" s="4"/>
    </row>
    <row r="245" spans="1:7">
      <c r="A245" s="15" t="s">
        <v>19</v>
      </c>
      <c r="B245" s="21"/>
      <c r="C245" s="21"/>
      <c r="D245" s="4"/>
      <c r="E245" s="22"/>
      <c r="F245" s="4"/>
      <c r="G245" s="4"/>
    </row>
    <row r="246" spans="1:7">
      <c r="A246" s="15" t="s">
        <v>19</v>
      </c>
      <c r="B246" s="21"/>
      <c r="C246" s="21"/>
      <c r="D246" s="4"/>
      <c r="E246" s="22"/>
      <c r="F246" s="4"/>
      <c r="G246" s="4"/>
    </row>
    <row r="247" spans="1:7">
      <c r="A247" s="15" t="s">
        <v>19</v>
      </c>
      <c r="B247" s="21"/>
      <c r="C247" s="21"/>
      <c r="D247" s="4"/>
      <c r="E247" s="22"/>
      <c r="F247" s="4"/>
      <c r="G247" s="4"/>
    </row>
    <row r="248" spans="1:7">
      <c r="A248" s="15" t="s">
        <v>19</v>
      </c>
      <c r="B248" s="21"/>
      <c r="C248" s="21"/>
      <c r="D248" s="4"/>
      <c r="E248" s="22"/>
      <c r="F248" s="4"/>
      <c r="G248" s="4"/>
    </row>
    <row r="249" spans="1:7">
      <c r="A249" s="15" t="s">
        <v>19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19</v>
      </c>
      <c r="B252" s="21"/>
      <c r="C252" s="21"/>
      <c r="D252" s="4"/>
      <c r="E252" s="22"/>
      <c r="F252" s="4"/>
      <c r="G252" s="4"/>
    </row>
    <row r="253" spans="1:7">
      <c r="A253" s="15" t="s">
        <v>19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19</v>
      </c>
      <c r="B255" s="21"/>
      <c r="C255" s="21"/>
      <c r="D255" s="4"/>
      <c r="E255" s="22"/>
      <c r="F255" s="4"/>
      <c r="G255" s="4"/>
    </row>
    <row r="256" spans="1:7">
      <c r="A256" s="15" t="s">
        <v>19</v>
      </c>
      <c r="B256" s="21"/>
      <c r="C256" s="21"/>
      <c r="D256" s="27"/>
      <c r="E256" s="29"/>
      <c r="F256" s="27"/>
      <c r="G256" s="4"/>
    </row>
    <row r="257" spans="1:7">
      <c r="A257" s="15" t="s">
        <v>19</v>
      </c>
      <c r="B257" s="21"/>
      <c r="C257" s="21"/>
      <c r="D257" s="4"/>
      <c r="E257" s="22"/>
      <c r="F257" s="4"/>
      <c r="G257" s="4"/>
    </row>
    <row r="258" spans="1:7">
      <c r="A258" s="15" t="s">
        <v>19</v>
      </c>
      <c r="B258" s="21"/>
      <c r="C258" s="21"/>
      <c r="D258" s="4"/>
      <c r="E258" s="22"/>
      <c r="F258" s="4"/>
      <c r="G258" s="4"/>
    </row>
    <row r="259" spans="1:7">
      <c r="A259" s="15" t="s">
        <v>19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19</v>
      </c>
      <c r="B276" s="21"/>
      <c r="C276" s="21"/>
      <c r="D276" s="4"/>
      <c r="E276" s="22"/>
      <c r="F276" s="4"/>
      <c r="G276" s="38"/>
    </row>
    <row r="277" spans="1:7">
      <c r="A277" s="15" t="s">
        <v>19</v>
      </c>
      <c r="B277" s="21"/>
      <c r="C277" s="21"/>
      <c r="D277" s="4"/>
      <c r="E277" s="22"/>
      <c r="F277" s="4"/>
      <c r="G277" s="38"/>
    </row>
    <row r="278" spans="1:7">
      <c r="A278" s="15" t="s">
        <v>19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0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0"/>
        <v/>
      </c>
      <c r="C298" s="21"/>
      <c r="D298" s="4"/>
      <c r="E298" s="26"/>
      <c r="F298" s="4"/>
      <c r="G298" s="4"/>
    </row>
    <row r="299" spans="2:7">
      <c r="B299" s="21" t="str">
        <f t="shared" si="0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1" r:id="rId4" name="Label1">
          <controlPr autoLine="0" r:id="rId5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4" name="Label1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7" r:id="rId8" name="btnType">
          <controlPr defaultSize="0" autoLine="0" r:id="rId9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8" name="btn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24</v>
      </c>
      <c r="C3" s="8"/>
      <c r="D3" s="9" t="s">
        <v>25</v>
      </c>
      <c r="E3" s="8"/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workbookViewId="0">
      <selection activeCell="E9" sqref="E9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32</v>
      </c>
      <c r="D3" s="9" t="s">
        <v>4</v>
      </c>
      <c r="E3" s="8" t="s">
        <v>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34</v>
      </c>
      <c r="D5" s="25" t="s">
        <v>47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/>
      <c r="C7" s="25" t="s">
        <v>39</v>
      </c>
      <c r="D7" s="25" t="s">
        <v>49</v>
      </c>
      <c r="E7" s="12" t="s">
        <v>43</v>
      </c>
      <c r="F7" s="13"/>
    </row>
    <row r="8" spans="1:6">
      <c r="B8" s="34">
        <f t="shared" si="0"/>
        <v>4</v>
      </c>
      <c r="C8" s="25" t="s">
        <v>36</v>
      </c>
      <c r="D8" s="25" t="s">
        <v>50</v>
      </c>
      <c r="E8" s="12" t="s">
        <v>43</v>
      </c>
      <c r="F8" s="13"/>
    </row>
    <row r="9" spans="1:6">
      <c r="B9" s="34">
        <f t="shared" si="0"/>
        <v>5</v>
      </c>
      <c r="C9" s="25" t="s">
        <v>37</v>
      </c>
      <c r="D9" s="25" t="s">
        <v>51</v>
      </c>
      <c r="E9" s="12" t="s">
        <v>44</v>
      </c>
      <c r="F9" s="13"/>
    </row>
    <row r="10" spans="1:6">
      <c r="B10" s="34">
        <f t="shared" si="0"/>
        <v>6</v>
      </c>
      <c r="C10" s="25" t="s">
        <v>38</v>
      </c>
      <c r="D10" s="25" t="s">
        <v>52</v>
      </c>
      <c r="E10" s="12" t="s">
        <v>45</v>
      </c>
      <c r="F10" s="13"/>
    </row>
    <row r="11" spans="1:6">
      <c r="B11" s="34">
        <f t="shared" si="0"/>
        <v>7</v>
      </c>
      <c r="C11" s="25" t="s">
        <v>40</v>
      </c>
      <c r="D11" s="25" t="s">
        <v>53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42</v>
      </c>
      <c r="D13" s="25" t="s">
        <v>55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"/>
  <sheetViews>
    <sheetView workbookViewId="0">
      <selection activeCell="C10" sqref="C10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75</v>
      </c>
      <c r="D3" s="9" t="s">
        <v>4</v>
      </c>
      <c r="E3" s="8" t="s">
        <v>57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67</v>
      </c>
      <c r="D6" s="25" t="s">
        <v>59</v>
      </c>
      <c r="E6" s="12" t="s">
        <v>43</v>
      </c>
      <c r="F6" s="13"/>
    </row>
    <row r="7" spans="1:6">
      <c r="B7" s="34">
        <f t="shared" si="0"/>
        <v>3</v>
      </c>
      <c r="C7" s="25" t="s">
        <v>68</v>
      </c>
      <c r="D7" s="25" t="s">
        <v>60</v>
      </c>
      <c r="E7" s="12" t="s">
        <v>73</v>
      </c>
      <c r="F7" s="13"/>
    </row>
    <row r="8" spans="1:6">
      <c r="B8" s="34">
        <f t="shared" si="0"/>
        <v>4</v>
      </c>
      <c r="C8" s="25" t="s">
        <v>69</v>
      </c>
      <c r="D8" s="25" t="s">
        <v>61</v>
      </c>
      <c r="E8" s="12" t="s">
        <v>44</v>
      </c>
      <c r="F8" s="13"/>
    </row>
    <row r="9" spans="1:6">
      <c r="B9" s="34">
        <f t="shared" si="0"/>
        <v>5</v>
      </c>
      <c r="C9" s="25" t="s">
        <v>70</v>
      </c>
      <c r="D9" s="25" t="s">
        <v>62</v>
      </c>
      <c r="E9" s="12" t="s">
        <v>74</v>
      </c>
      <c r="F9" s="13"/>
    </row>
    <row r="10" spans="1:6">
      <c r="B10" s="34">
        <f t="shared" si="0"/>
        <v>6</v>
      </c>
      <c r="C10" s="25" t="s">
        <v>71</v>
      </c>
      <c r="D10" s="25" t="s">
        <v>64</v>
      </c>
      <c r="E10" s="12" t="s">
        <v>29</v>
      </c>
      <c r="F10" s="13"/>
    </row>
    <row r="11" spans="1:6">
      <c r="B11" s="34">
        <f t="shared" si="0"/>
        <v>7</v>
      </c>
      <c r="C11" s="25" t="s">
        <v>72</v>
      </c>
      <c r="D11" s="25" t="s">
        <v>63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66</v>
      </c>
      <c r="D13" s="25" t="s">
        <v>65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5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103</v>
      </c>
      <c r="D3" s="9" t="s">
        <v>4</v>
      </c>
      <c r="E3" s="8" t="s">
        <v>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116</v>
      </c>
      <c r="F5" s="13"/>
    </row>
    <row r="6" spans="1:6">
      <c r="B6" s="34">
        <f t="shared" ref="B6:B11" si="0">IF(COUNTA(C6)&gt;0,ROW(C6)-4,"")</f>
        <v>2</v>
      </c>
      <c r="C6" s="25" t="s">
        <v>78</v>
      </c>
      <c r="D6" s="25" t="s">
        <v>94</v>
      </c>
      <c r="E6" s="12" t="s">
        <v>43</v>
      </c>
      <c r="F6" s="13"/>
    </row>
    <row r="7" spans="1:6">
      <c r="B7" s="34">
        <f t="shared" si="0"/>
        <v>3</v>
      </c>
      <c r="C7" s="25" t="s">
        <v>79</v>
      </c>
      <c r="D7" s="25" t="s">
        <v>95</v>
      </c>
      <c r="E7" s="12" t="s">
        <v>89</v>
      </c>
      <c r="F7" s="13"/>
    </row>
    <row r="8" spans="1:6">
      <c r="B8" s="34">
        <f t="shared" si="0"/>
        <v>4</v>
      </c>
      <c r="C8" s="25" t="s">
        <v>80</v>
      </c>
      <c r="D8" s="25" t="s">
        <v>96</v>
      </c>
      <c r="E8" s="12" t="s">
        <v>90</v>
      </c>
      <c r="F8" s="13"/>
    </row>
    <row r="9" spans="1:6">
      <c r="B9" s="34">
        <f t="shared" si="0"/>
        <v>5</v>
      </c>
      <c r="C9" s="25" t="s">
        <v>104</v>
      </c>
      <c r="D9" s="25" t="s">
        <v>97</v>
      </c>
      <c r="E9" s="12" t="s">
        <v>91</v>
      </c>
      <c r="F9" s="13"/>
    </row>
    <row r="10" spans="1:6">
      <c r="B10" s="34">
        <f t="shared" si="0"/>
        <v>6</v>
      </c>
      <c r="C10" s="25" t="s">
        <v>81</v>
      </c>
      <c r="D10" s="25" t="s">
        <v>98</v>
      </c>
      <c r="E10" s="12" t="s">
        <v>90</v>
      </c>
      <c r="F10" s="13"/>
    </row>
    <row r="11" spans="1:6">
      <c r="B11" s="34">
        <f t="shared" si="0"/>
        <v>7</v>
      </c>
      <c r="C11" s="25" t="s">
        <v>82</v>
      </c>
      <c r="D11" s="25" t="s">
        <v>99</v>
      </c>
      <c r="E11" s="12" t="s">
        <v>92</v>
      </c>
      <c r="F11" s="13"/>
    </row>
    <row r="12" spans="1:6">
      <c r="B12" s="34">
        <f t="shared" ref="B12:B45" si="1">IF(COUNTA(C12)&gt;0,ROW(C12)-4,"")</f>
        <v>8</v>
      </c>
      <c r="C12" s="25" t="s">
        <v>83</v>
      </c>
      <c r="D12" s="25" t="s">
        <v>100</v>
      </c>
      <c r="E12" s="12" t="s">
        <v>46</v>
      </c>
      <c r="F12" s="13"/>
    </row>
    <row r="13" spans="1:6">
      <c r="B13" s="34">
        <f t="shared" si="1"/>
        <v>9</v>
      </c>
      <c r="C13" s="25" t="s">
        <v>84</v>
      </c>
      <c r="D13" s="25" t="s">
        <v>101</v>
      </c>
      <c r="E13" s="12" t="s">
        <v>46</v>
      </c>
      <c r="F13" s="13"/>
    </row>
    <row r="14" spans="1:6">
      <c r="B14" s="34">
        <f t="shared" si="1"/>
        <v>10</v>
      </c>
      <c r="C14" s="25" t="s">
        <v>85</v>
      </c>
      <c r="D14" s="25" t="s">
        <v>102</v>
      </c>
      <c r="E14" s="12" t="s">
        <v>93</v>
      </c>
      <c r="F14" s="13"/>
    </row>
    <row r="15" spans="1:6">
      <c r="B15" s="34">
        <f t="shared" si="1"/>
        <v>11</v>
      </c>
      <c r="C15" s="25" t="s">
        <v>86</v>
      </c>
      <c r="D15" s="25" t="s">
        <v>64</v>
      </c>
      <c r="E15" s="12" t="s">
        <v>29</v>
      </c>
      <c r="F15" s="13"/>
    </row>
    <row r="16" spans="1:6">
      <c r="B16" s="34">
        <f t="shared" si="1"/>
        <v>12</v>
      </c>
      <c r="C16" s="25" t="s">
        <v>72</v>
      </c>
      <c r="D16" s="25" t="s">
        <v>63</v>
      </c>
      <c r="E16" s="12" t="s">
        <v>43</v>
      </c>
      <c r="F16" s="13"/>
    </row>
    <row r="17" spans="2:6">
      <c r="B17" s="34">
        <f t="shared" si="1"/>
        <v>13</v>
      </c>
      <c r="C17" s="25" t="s">
        <v>41</v>
      </c>
      <c r="D17" s="25" t="s">
        <v>54</v>
      </c>
      <c r="E17" s="12" t="s">
        <v>46</v>
      </c>
      <c r="F17" s="13"/>
    </row>
    <row r="18" spans="2:6">
      <c r="B18" s="34">
        <f t="shared" si="1"/>
        <v>14</v>
      </c>
      <c r="C18" s="25" t="s">
        <v>87</v>
      </c>
      <c r="D18" s="25" t="s">
        <v>88</v>
      </c>
      <c r="E18" s="12" t="s">
        <v>43</v>
      </c>
      <c r="F18" s="13"/>
    </row>
    <row r="19" spans="2:6">
      <c r="B19" s="34">
        <f t="shared" si="1"/>
        <v>15</v>
      </c>
      <c r="C19" s="25" t="s">
        <v>66</v>
      </c>
      <c r="D19" s="25" t="s">
        <v>65</v>
      </c>
      <c r="E19" s="12" t="s">
        <v>46</v>
      </c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9"/>
  <sheetViews>
    <sheetView workbookViewId="0"/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119</v>
      </c>
      <c r="D3" s="9" t="s">
        <v>4</v>
      </c>
      <c r="E3" s="8" t="s">
        <v>106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91</v>
      </c>
      <c r="F5" s="13"/>
    </row>
    <row r="6" spans="1:6">
      <c r="B6" s="34"/>
      <c r="C6" s="25" t="s">
        <v>121</v>
      </c>
      <c r="D6" s="25" t="s">
        <v>117</v>
      </c>
      <c r="E6" s="12" t="s">
        <v>43</v>
      </c>
      <c r="F6" s="13"/>
    </row>
    <row r="7" spans="1:6">
      <c r="B7" s="34"/>
      <c r="C7" s="25" t="s">
        <v>122</v>
      </c>
      <c r="D7" s="25" t="s">
        <v>114</v>
      </c>
      <c r="E7" s="12" t="s">
        <v>115</v>
      </c>
      <c r="F7" s="13"/>
    </row>
    <row r="8" spans="1:6">
      <c r="B8" s="34">
        <f t="shared" ref="B8:B49" si="0">IF(COUNTA(C8)&gt;0,ROW(C8)-4,"")</f>
        <v>4</v>
      </c>
      <c r="C8" s="25" t="s">
        <v>123</v>
      </c>
      <c r="D8" s="25" t="s">
        <v>108</v>
      </c>
      <c r="E8" s="12" t="s">
        <v>115</v>
      </c>
      <c r="F8" s="13"/>
    </row>
    <row r="9" spans="1:6">
      <c r="B9" s="34"/>
      <c r="C9" s="25" t="s">
        <v>124</v>
      </c>
      <c r="D9" s="25" t="s">
        <v>113</v>
      </c>
      <c r="E9" s="12" t="s">
        <v>90</v>
      </c>
      <c r="F9" s="13"/>
    </row>
    <row r="10" spans="1:6">
      <c r="B10" s="34"/>
      <c r="C10" s="25" t="s">
        <v>125</v>
      </c>
      <c r="D10" s="25" t="s">
        <v>111</v>
      </c>
      <c r="E10" s="12" t="s">
        <v>92</v>
      </c>
      <c r="F10" s="13"/>
    </row>
    <row r="11" spans="1:6">
      <c r="B11" s="34"/>
      <c r="C11" s="25" t="s">
        <v>126</v>
      </c>
      <c r="D11" s="25" t="s">
        <v>112</v>
      </c>
      <c r="E11" s="12" t="s">
        <v>120</v>
      </c>
      <c r="F11" s="13"/>
    </row>
    <row r="12" spans="1:6">
      <c r="B12" s="34">
        <f t="shared" si="0"/>
        <v>8</v>
      </c>
      <c r="C12" s="25" t="s">
        <v>86</v>
      </c>
      <c r="D12" s="25" t="s">
        <v>109</v>
      </c>
      <c r="E12" s="12" t="s">
        <v>115</v>
      </c>
      <c r="F12" s="13"/>
    </row>
    <row r="13" spans="1:6">
      <c r="B13" s="34">
        <f t="shared" si="0"/>
        <v>9</v>
      </c>
      <c r="C13" s="25" t="s">
        <v>127</v>
      </c>
      <c r="D13" s="25" t="s">
        <v>110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4"/>
      <c r="D24" s="4"/>
      <c r="E24" s="14"/>
      <c r="F24" s="13"/>
    </row>
    <row r="25" spans="2:6">
      <c r="B25" s="34" t="str">
        <f t="shared" si="0"/>
        <v/>
      </c>
      <c r="C25" s="25"/>
      <c r="D25" s="25"/>
      <c r="E25" s="12"/>
      <c r="F25" s="13"/>
    </row>
    <row r="26" spans="2:6">
      <c r="B26" s="34" t="str">
        <f t="shared" si="0"/>
        <v/>
      </c>
      <c r="C26" s="25"/>
      <c r="D26" s="25"/>
      <c r="E26" s="12"/>
      <c r="F26" s="13"/>
    </row>
    <row r="27" spans="2:6">
      <c r="B27" s="34" t="str">
        <f t="shared" si="0"/>
        <v/>
      </c>
      <c r="C27" s="25"/>
      <c r="D27" s="25"/>
      <c r="E27" s="12"/>
      <c r="F27" s="13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25"/>
    </row>
    <row r="41" spans="2:6">
      <c r="B41" s="34" t="str">
        <f t="shared" si="0"/>
        <v/>
      </c>
      <c r="C41" s="25"/>
      <c r="D41" s="25"/>
      <c r="E41" s="25"/>
      <c r="F41" s="25"/>
    </row>
    <row r="42" spans="2:6">
      <c r="B42" s="34" t="str">
        <f t="shared" si="0"/>
        <v/>
      </c>
      <c r="C42" s="25"/>
      <c r="D42" s="25"/>
      <c r="E42" s="25"/>
      <c r="F42" s="25"/>
    </row>
    <row r="43" spans="2:6">
      <c r="B43" s="34" t="str">
        <f t="shared" si="0"/>
        <v/>
      </c>
      <c r="C43" s="25"/>
      <c r="D43" s="25"/>
      <c r="E43" s="25"/>
      <c r="F43" s="25"/>
    </row>
    <row r="44" spans="2:6">
      <c r="B44" s="34" t="str">
        <f t="shared" si="0"/>
        <v/>
      </c>
      <c r="C44" s="25"/>
      <c r="D44" s="25"/>
      <c r="E44" s="25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 t="str">
        <f t="shared" si="0"/>
        <v/>
      </c>
      <c r="C46" s="4"/>
      <c r="D46" s="4"/>
      <c r="E46" s="12"/>
      <c r="F46" s="13"/>
    </row>
    <row r="47" spans="2:6">
      <c r="B47" s="34" t="str">
        <f t="shared" si="0"/>
        <v/>
      </c>
      <c r="C47" s="4"/>
      <c r="D47" s="4"/>
      <c r="E47" s="4"/>
      <c r="F47" s="13"/>
    </row>
    <row r="48" spans="2:6">
      <c r="B48" s="34" t="str">
        <f t="shared" si="0"/>
        <v/>
      </c>
      <c r="C48" s="4"/>
      <c r="D48" s="4"/>
      <c r="E48" s="4"/>
      <c r="F48" s="13"/>
    </row>
    <row r="49" spans="2:6">
      <c r="B49" s="34" t="str">
        <f t="shared" si="0"/>
        <v/>
      </c>
      <c r="C49" s="4"/>
      <c r="D49" s="4"/>
      <c r="E49" s="4"/>
      <c r="F49" s="13"/>
    </row>
    <row r="50" spans="2:6">
      <c r="B50" s="34"/>
      <c r="C50" s="25"/>
      <c r="D50" s="25"/>
      <c r="E50" s="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1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14"/>
      <c r="F54" s="13"/>
    </row>
    <row r="55" spans="2:6">
      <c r="B55" s="34"/>
      <c r="C55" s="4"/>
      <c r="D55" s="4"/>
      <c r="E55" s="14"/>
      <c r="F55" s="13"/>
    </row>
    <row r="56" spans="2:6">
      <c r="B56" s="34"/>
      <c r="C56" s="4"/>
      <c r="D56" s="4"/>
      <c r="E56" s="4"/>
      <c r="F56" s="13"/>
    </row>
    <row r="57" spans="2:6">
      <c r="B57" s="34"/>
      <c r="C57" s="4"/>
      <c r="D57" s="4"/>
      <c r="E57" s="4"/>
      <c r="F57" s="13"/>
    </row>
    <row r="58" spans="2:6">
      <c r="B58" s="34"/>
      <c r="C58" s="4"/>
      <c r="D58" s="4"/>
      <c r="E58" s="4"/>
      <c r="F58" s="13"/>
    </row>
    <row r="59" spans="2:6">
      <c r="B59" s="34"/>
      <c r="C59" s="4"/>
      <c r="D59" s="4"/>
      <c r="E59" s="4"/>
      <c r="F59" s="13"/>
    </row>
  </sheetData>
  <phoneticPr fontId="1" type="noConversion"/>
  <dataValidations count="1">
    <dataValidation type="list" allowBlank="1" showInputMessage="1" showErrorMessage="1" sqref="E45 E48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5"/>
  <sheetViews>
    <sheetView tabSelected="1" workbookViewId="0">
      <selection activeCell="D7" sqref="D7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128</v>
      </c>
      <c r="D3" s="9" t="s">
        <v>4</v>
      </c>
      <c r="E3" s="8" t="s">
        <v>130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140</v>
      </c>
      <c r="D6" s="25" t="s">
        <v>132</v>
      </c>
      <c r="E6" s="12"/>
      <c r="F6" s="13"/>
    </row>
    <row r="7" spans="1:6">
      <c r="B7" s="34">
        <f t="shared" si="0"/>
        <v>3</v>
      </c>
      <c r="C7" s="25" t="s">
        <v>141</v>
      </c>
      <c r="D7" s="25" t="s">
        <v>133</v>
      </c>
      <c r="E7" s="12"/>
      <c r="F7" s="13"/>
    </row>
    <row r="8" spans="1:6">
      <c r="B8" s="34">
        <f t="shared" si="0"/>
        <v>4</v>
      </c>
      <c r="C8" s="25" t="s">
        <v>142</v>
      </c>
      <c r="D8" s="25" t="s">
        <v>134</v>
      </c>
      <c r="E8" s="12"/>
      <c r="F8" s="13"/>
    </row>
    <row r="9" spans="1:6">
      <c r="B9" s="34">
        <f t="shared" si="0"/>
        <v>5</v>
      </c>
      <c r="C9" s="25" t="s">
        <v>143</v>
      </c>
      <c r="D9" s="25" t="s">
        <v>109</v>
      </c>
      <c r="E9" s="12"/>
      <c r="F9" s="13"/>
    </row>
    <row r="10" spans="1:6">
      <c r="B10" s="34">
        <f t="shared" si="0"/>
        <v>6</v>
      </c>
      <c r="C10" s="25" t="s">
        <v>86</v>
      </c>
      <c r="D10" s="25" t="s">
        <v>135</v>
      </c>
      <c r="E10" s="12"/>
      <c r="F10" s="13"/>
    </row>
    <row r="11" spans="1:6">
      <c r="B11" s="34" t="str">
        <f t="shared" si="0"/>
        <v/>
      </c>
      <c r="C11" s="25"/>
      <c r="D11" s="25" t="s">
        <v>136</v>
      </c>
      <c r="E11" s="12"/>
      <c r="F11" s="13"/>
    </row>
    <row r="12" spans="1:6">
      <c r="B12" s="34"/>
      <c r="C12" s="25"/>
      <c r="D12" s="25" t="s">
        <v>139</v>
      </c>
      <c r="E12" s="12"/>
      <c r="F12" s="13"/>
    </row>
    <row r="13" spans="1:6">
      <c r="B13" s="34" t="str">
        <f t="shared" si="0"/>
        <v/>
      </c>
      <c r="C13" s="25"/>
      <c r="D13" s="25" t="s">
        <v>137</v>
      </c>
      <c r="E13" s="12"/>
      <c r="F13" s="13"/>
    </row>
    <row r="14" spans="1:6">
      <c r="B14" s="34" t="str">
        <f t="shared" si="0"/>
        <v/>
      </c>
      <c r="C14" s="25"/>
      <c r="D14" s="25" t="s">
        <v>138</v>
      </c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封面</vt:lpstr>
      <vt:lpstr>备忘录</vt:lpstr>
      <vt:lpstr>数据表索引</vt:lpstr>
      <vt:lpstr>t_Demo</vt:lpstr>
      <vt:lpstr>t_User</vt:lpstr>
      <vt:lpstr>t_Customer</vt:lpstr>
      <vt:lpstr>t_Project</vt:lpstr>
      <vt:lpstr>t_Order</vt:lpstr>
      <vt:lpstr>t_Fee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Administrator</cp:lastModifiedBy>
  <dcterms:created xsi:type="dcterms:W3CDTF">2013-11-05T06:16:29Z</dcterms:created>
  <dcterms:modified xsi:type="dcterms:W3CDTF">2019-03-13T08:55:24Z</dcterms:modified>
</cp:coreProperties>
</file>